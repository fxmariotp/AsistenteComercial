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715" activeTab="2"/>
  </bookViews>
  <sheets>
    <sheet name="DATOS LUZ" sheetId="1" r:id="rId1"/>
    <sheet name="IberdrolaIMPULSA" sheetId="2" r:id="rId2"/>
    <sheet name="NaturgyPORUSO" sheetId="3" r:id="rId3"/>
    <sheet name="EndesaFIJA24HSP" sheetId="4" r:id="rId4"/>
    <sheet name="EndesaFIJA24HCP" sheetId="5" r:id="rId5"/>
    <sheet name="GanaEnergía24H" sheetId="6" r:id="rId6"/>
    <sheet name="GanaEnergíaPDM" sheetId="7" r:id="rId7"/>
    <sheet name="DATOS GAS" sheetId="8" r:id="rId8"/>
    <sheet name="IberdrolaGAS" sheetId="9" r:id="rId9"/>
    <sheet name="NaturgyGAS" sheetId="10" r:id="rId10"/>
    <sheet name="EndesaGAS" sheetId="11" r:id="rId11"/>
    <sheet name="GanaEnergíaGA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<sst xmlns="http://schemas.openxmlformats.org/spreadsheetml/2006/main" count="458" uniqueCount="96">
  <si>
    <t>DATOS DE LA FACTURA</t>
  </si>
  <si>
    <t>PRECIO POR COMERCIALIZADORA SIN DESGLOSE</t>
  </si>
  <si>
    <t>24 Hora</t>
  </si>
  <si>
    <t>Precio de Mercado</t>
  </si>
  <si>
    <t>DIAS DE FACTURACIÓN</t>
  </si>
  <si>
    <t>GanaEnergía</t>
  </si>
  <si>
    <t>Impulsa 24h</t>
  </si>
  <si>
    <t>-</t>
  </si>
  <si>
    <t>POTENCIA CONTRATADA</t>
  </si>
  <si>
    <t>Iberdrola</t>
  </si>
  <si>
    <t>Fijo24h CP</t>
  </si>
  <si>
    <t>Fijo24h SP</t>
  </si>
  <si>
    <t>CONSUMO DE ENERGÍA</t>
  </si>
  <si>
    <t>Endesa</t>
  </si>
  <si>
    <t>LuzPorUso</t>
  </si>
  <si>
    <t>ACTIVAR SVA</t>
  </si>
  <si>
    <t>SI</t>
  </si>
  <si>
    <t>Naturgy</t>
  </si>
  <si>
    <t>IMPUESTO (%)</t>
  </si>
  <si>
    <t>AHORROS MENSUALES Y ANUALES</t>
  </si>
  <si>
    <t>Endesa CP</t>
  </si>
  <si>
    <t>Endesa SP</t>
  </si>
  <si>
    <t>Gana Indexado</t>
  </si>
  <si>
    <t>IMPORTE FACTURA LUZ</t>
  </si>
  <si>
    <t>TITULAR</t>
  </si>
  <si>
    <t>Nº CUPS</t>
  </si>
  <si>
    <t>PRECIOS POR COMERCIALIZADORA</t>
  </si>
  <si>
    <t>POTENCIA</t>
  </si>
  <si>
    <t>ENERGÍA</t>
  </si>
  <si>
    <t>P1</t>
  </si>
  <si>
    <t>P2</t>
  </si>
  <si>
    <t>CON SVA</t>
  </si>
  <si>
    <t>SIN SVA</t>
  </si>
  <si>
    <t>PRECIO SVA</t>
  </si>
  <si>
    <t>Fija 24h Endesa CP</t>
  </si>
  <si>
    <t>Fija 24h Endesa SP</t>
  </si>
  <si>
    <t>GanaEnergía Indexado</t>
  </si>
  <si>
    <t>TITULAR DE FACTURACIÓN</t>
  </si>
  <si>
    <t>PRODUCTO</t>
  </si>
  <si>
    <t>Plan Impulsa 24h</t>
  </si>
  <si>
    <t>PERMANENCIA</t>
  </si>
  <si>
    <t>NO</t>
  </si>
  <si>
    <t>TÉRMINO DE POTENCIA</t>
  </si>
  <si>
    <t>KW</t>
  </si>
  <si>
    <t>DIAS</t>
  </si>
  <si>
    <t>€/KW/DIA</t>
  </si>
  <si>
    <t>IMPORTE</t>
  </si>
  <si>
    <t>__________________________________________</t>
  </si>
  <si>
    <t>TÉRMINO DE ENERGÍA</t>
  </si>
  <si>
    <t>KW/H</t>
  </si>
  <si>
    <t>PRECIO KW/H</t>
  </si>
  <si>
    <t>________________________________________________________</t>
  </si>
  <si>
    <t>IMPUESTO SOBRE ELECTRICIDAD</t>
  </si>
  <si>
    <t>x0,5%___________________________________________________________________</t>
  </si>
  <si>
    <t>IMPUESTOS Y OTROS</t>
  </si>
  <si>
    <t>alquiler de equipos</t>
  </si>
  <si>
    <t>SVA</t>
  </si>
  <si>
    <t>Pack Iberdrola</t>
  </si>
  <si>
    <t>I.V.A.</t>
  </si>
  <si>
    <t>TOTAL</t>
  </si>
  <si>
    <t>________________________________________________________________________</t>
  </si>
  <si>
    <t>Importe FACTURA Cliente con su actual comercializadora actualizado a día de hoy</t>
  </si>
  <si>
    <t>Ahorro estimado en esta Factura</t>
  </si>
  <si>
    <t>Ahorro estimado anual</t>
  </si>
  <si>
    <t>Luz Por Uso</t>
  </si>
  <si>
    <t>ServiElectric</t>
  </si>
  <si>
    <t>Fija 24h Endesa</t>
  </si>
  <si>
    <t>Protección 360</t>
  </si>
  <si>
    <t>SÍ</t>
  </si>
  <si>
    <t>Plan 24 Horas</t>
  </si>
  <si>
    <t>Serv. Gana</t>
  </si>
  <si>
    <t>Plan Precio de Mercado</t>
  </si>
  <si>
    <t>P3</t>
  </si>
  <si>
    <t>x5,11%___________________________________________________________________</t>
  </si>
  <si>
    <t>Gas GanaEnergia</t>
  </si>
  <si>
    <t>Gas Iberdrola</t>
  </si>
  <si>
    <t>RL1</t>
  </si>
  <si>
    <t>Gas Endesa</t>
  </si>
  <si>
    <t>Gas Naturgy</t>
  </si>
  <si>
    <t>IMPORTE FACTURA GAS</t>
  </si>
  <si>
    <t>T. FIJOS</t>
  </si>
  <si>
    <t>T. VARIABLE</t>
  </si>
  <si>
    <t>SVA Gas</t>
  </si>
  <si>
    <t>RL2</t>
  </si>
  <si>
    <t>RL3</t>
  </si>
  <si>
    <t>kW / RL1</t>
  </si>
  <si>
    <t>kW / RL2</t>
  </si>
  <si>
    <t>kW / RL3</t>
  </si>
  <si>
    <t>Precio</t>
  </si>
  <si>
    <t>Iberdrola Gas</t>
  </si>
  <si>
    <t>TÉRMINO FIJO</t>
  </si>
  <si>
    <t>TÉRMINO VARIABLE</t>
  </si>
  <si>
    <t>Gas Por Uso</t>
  </si>
  <si>
    <t>Servigas</t>
  </si>
  <si>
    <t>Endesa Gas</t>
  </si>
  <si>
    <t>Gana Gas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</si>
</sst>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  <numFmt numFmtId="178" formatCode="#,##0.00&quot;€&quot;"/>
    <numFmt numFmtId="179" formatCode="0.00000"/>
    <numFmt numFmtId="180" formatCode="#,##0.00\ [$€-1]"/>
    <numFmt numFmtId="181" formatCode="0.0000"/>
  </numFmts>
  <fonts count="50">
    <font>
      <sz val="10"/>
      <color rgb="FF000000"/>
      <name val="Arial"/>
      <charset val="134"/>
      <scheme val="minor"/>
    </font>
    <font>
      <sz val="11"/>
      <color rgb="FF000000"/>
      <name val="Calibri"/>
      <charset val="134"/>
    </font>
    <font>
      <sz val="11"/>
      <color theme="1"/>
      <name val="Calibri"/>
      <charset val="134"/>
    </font>
    <font>
      <sz val="11"/>
      <color rgb="FF000080"/>
      <name val="Calibri"/>
      <charset val="134"/>
    </font>
    <font>
      <u/>
      <sz val="11"/>
      <color rgb="FF0000FF"/>
      <name val="Calibri"/>
      <charset val="134"/>
    </font>
    <font>
      <b/>
      <sz val="11"/>
      <color rgb="FF000000"/>
      <name val="Calibri"/>
      <charset val="134"/>
    </font>
    <font>
      <b/>
      <sz val="11"/>
      <color rgb="FFFFFFFF"/>
      <name val="Calibri"/>
      <charset val="134"/>
    </font>
    <font>
      <sz val="10"/>
      <name val="Arial"/>
      <charset val="134"/>
      <scheme val="minor"/>
    </font>
    <font>
      <b/>
      <sz val="15"/>
      <color rgb="FFFFFFFF"/>
      <name val="Calibri"/>
      <charset val="134"/>
    </font>
    <font>
      <b/>
      <sz val="15"/>
      <color rgb="FF000000"/>
      <name val="Calibri"/>
      <charset val="134"/>
    </font>
    <font>
      <i/>
      <sz val="11"/>
      <color rgb="FF000000"/>
      <name val="Calibri"/>
      <charset val="134"/>
    </font>
    <font>
      <b/>
      <i/>
      <sz val="11"/>
      <color rgb="FF000000"/>
      <name val="Calibri"/>
      <charset val="134"/>
    </font>
    <font>
      <sz val="11"/>
      <color rgb="FFFFFFFF"/>
      <name val="Calibri"/>
      <charset val="134"/>
    </font>
    <font>
      <sz val="10"/>
      <color theme="1"/>
      <name val="Arial"/>
      <charset val="134"/>
      <scheme val="minor"/>
    </font>
    <font>
      <b/>
      <sz val="16"/>
      <color rgb="FF000000"/>
      <name val="Calibri"/>
      <charset val="134"/>
    </font>
    <font>
      <b/>
      <sz val="14"/>
      <color rgb="FFFFFFFF"/>
      <name val="Arial"/>
      <charset val="134"/>
      <scheme val="minor"/>
    </font>
    <font>
      <b/>
      <sz val="10"/>
      <color rgb="FFFFFFFF"/>
      <name val="Arial"/>
      <charset val="134"/>
      <scheme val="minor"/>
    </font>
    <font>
      <b/>
      <sz val="16"/>
      <color rgb="FFFFFFFF"/>
      <name val="Arial"/>
      <charset val="134"/>
      <scheme val="minor"/>
    </font>
    <font>
      <b/>
      <i/>
      <sz val="18"/>
      <color rgb="FFFFFFFF"/>
      <name val="Arial"/>
      <charset val="134"/>
      <scheme val="minor"/>
    </font>
    <font>
      <b/>
      <sz val="17"/>
      <color rgb="FFFFFFFF"/>
      <name val="Arial"/>
      <charset val="134"/>
      <scheme val="minor"/>
    </font>
    <font>
      <b/>
      <sz val="11"/>
      <color rgb="FFFFFFFF"/>
      <name val="Arial"/>
      <charset val="134"/>
      <scheme val="minor"/>
    </font>
    <font>
      <b/>
      <sz val="17"/>
      <color theme="1"/>
      <name val="Arial"/>
      <charset val="134"/>
      <scheme val="minor"/>
    </font>
    <font>
      <sz val="10"/>
      <color rgb="FFFFFFFF"/>
      <name val="Arial"/>
      <charset val="134"/>
      <scheme val="minor"/>
    </font>
    <font>
      <b/>
      <i/>
      <sz val="12"/>
      <color rgb="FFFFFFFF"/>
      <name val="Arial"/>
      <charset val="134"/>
      <scheme val="minor"/>
    </font>
    <font>
      <sz val="12"/>
      <color rgb="FFFFFFFF"/>
      <name val="Arial"/>
      <charset val="134"/>
      <scheme val="minor"/>
    </font>
    <font>
      <sz val="10"/>
      <color theme="1"/>
      <name val="Arial"/>
      <charset val="134"/>
    </font>
    <font>
      <b/>
      <sz val="10"/>
      <color theme="1"/>
      <name val="Arial"/>
      <charset val="134"/>
      <scheme val="minor"/>
    </font>
    <font>
      <b/>
      <sz val="13"/>
      <color rgb="FFFFFFFF"/>
      <name val="Arial"/>
      <charset val="134"/>
      <scheme val="minor"/>
    </font>
    <font>
      <sz val="12"/>
      <color theme="1"/>
      <name val="Arial"/>
      <charset val="134"/>
      <scheme val="minor"/>
    </font>
    <font>
      <b/>
      <sz val="12"/>
      <color rgb="FFFFFFFF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CFA7"/>
        <bgColor rgb="FF00CFA7"/>
      </patternFill>
    </fill>
    <fill>
      <patternFill patternType="solid">
        <fgColor rgb="FFFF00FF"/>
        <bgColor rgb="FFFF00FF"/>
      </patternFill>
    </fill>
    <fill>
      <patternFill patternType="solid">
        <fgColor rgb="FF0047CC"/>
        <bgColor rgb="FF0047CC"/>
      </patternFill>
    </fill>
    <fill>
      <patternFill patternType="solid">
        <fgColor rgb="FFFF9900"/>
        <bgColor rgb="FFFF9900"/>
      </patternFill>
    </fill>
    <fill>
      <patternFill patternType="solid">
        <fgColor rgb="FF00A443"/>
        <bgColor rgb="FF00A443"/>
      </patternFill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  <fill>
      <patternFill patternType="solid">
        <fgColor rgb="FF783F04"/>
        <bgColor rgb="FF783F04"/>
      </patternFill>
    </fill>
    <fill>
      <patternFill patternType="solid">
        <fgColor rgb="FF666666"/>
        <bgColor rgb="FF666666"/>
      </patternFill>
    </fill>
    <fill>
      <patternFill patternType="solid">
        <fgColor rgb="FF000080"/>
        <bgColor rgb="FF00008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A443"/>
      </left>
      <right style="thin">
        <color rgb="FF00A443"/>
      </right>
      <top style="thin">
        <color rgb="FF000000"/>
      </top>
      <bottom style="thin">
        <color rgb="FF000000"/>
      </bottom>
      <diagonal/>
    </border>
    <border>
      <left style="thin">
        <color rgb="FF0047CC"/>
      </left>
      <right style="thin">
        <color rgb="FF0047CC"/>
      </right>
      <top style="thin">
        <color rgb="FF000000"/>
      </top>
      <bottom style="thin">
        <color rgb="FF000000"/>
      </bottom>
      <diagonal/>
    </border>
    <border>
      <left style="thin">
        <color rgb="FF00CFA7"/>
      </left>
      <right style="thin">
        <color rgb="FF00CFA7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A443"/>
      </left>
      <right style="thin">
        <color rgb="FF000000"/>
      </right>
      <top/>
      <bottom/>
      <diagonal/>
    </border>
    <border>
      <left style="thin">
        <color rgb="FF00CFA7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CFA7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CFA7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0" fillId="0" borderId="0" applyFont="0" applyFill="0" applyBorder="0" applyAlignment="0" applyProtection="0">
      <alignment vertical="center"/>
    </xf>
    <xf numFmtId="176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0" fillId="14" borderId="23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37" fillId="0" borderId="24" applyNumberFormat="0" applyFill="0" applyAlignment="0" applyProtection="0">
      <alignment vertical="center"/>
    </xf>
    <xf numFmtId="0" fontId="38" fillId="0" borderId="25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15" borderId="26" applyNumberFormat="0" applyAlignment="0" applyProtection="0">
      <alignment vertical="center"/>
    </xf>
    <xf numFmtId="0" fontId="40" fillId="16" borderId="27" applyNumberFormat="0" applyAlignment="0" applyProtection="0">
      <alignment vertical="center"/>
    </xf>
    <xf numFmtId="0" fontId="41" fillId="16" borderId="26" applyNumberFormat="0" applyAlignment="0" applyProtection="0">
      <alignment vertical="center"/>
    </xf>
    <xf numFmtId="0" fontId="42" fillId="17" borderId="28" applyNumberFormat="0" applyAlignment="0" applyProtection="0">
      <alignment vertical="center"/>
    </xf>
    <xf numFmtId="0" fontId="43" fillId="0" borderId="29" applyNumberFormat="0" applyFill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49" fillId="39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</cellStyleXfs>
  <cellXfs count="204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4" xfId="0" applyFont="1" applyFill="1" applyBorder="1" applyAlignment="1">
      <alignment horizontal="right" vertical="center"/>
    </xf>
    <xf numFmtId="0" fontId="6" fillId="3" borderId="6" xfId="0" applyFont="1" applyFill="1" applyBorder="1" applyAlignment="1">
      <alignment horizontal="center" vertical="center"/>
    </xf>
    <xf numFmtId="0" fontId="7" fillId="0" borderId="7" xfId="0" applyFont="1" applyBorder="1"/>
    <xf numFmtId="0" fontId="7" fillId="0" borderId="8" xfId="0" applyFont="1" applyBorder="1"/>
    <xf numFmtId="0" fontId="8" fillId="3" borderId="6" xfId="0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1" fillId="0" borderId="0" xfId="0" applyFont="1" applyAlignment="1">
      <alignment horizontal="right" vertical="center"/>
    </xf>
    <xf numFmtId="0" fontId="5" fillId="0" borderId="4" xfId="0" applyFont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9" fillId="2" borderId="4" xfId="0" applyFont="1" applyFill="1" applyBorder="1" applyAlignment="1">
      <alignment vertical="center"/>
    </xf>
    <xf numFmtId="0" fontId="10" fillId="2" borderId="4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11" fillId="2" borderId="5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right" vertical="center"/>
    </xf>
    <xf numFmtId="0" fontId="13" fillId="0" borderId="0" xfId="0" applyFont="1" applyAlignment="1"/>
    <xf numFmtId="178" fontId="1" fillId="2" borderId="9" xfId="0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10" fillId="2" borderId="5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right" vertical="center"/>
    </xf>
    <xf numFmtId="0" fontId="1" fillId="2" borderId="8" xfId="0" applyFont="1" applyFill="1" applyBorder="1" applyAlignment="1">
      <alignment horizontal="right" vertical="center"/>
    </xf>
    <xf numFmtId="178" fontId="12" fillId="3" borderId="9" xfId="0" applyNumberFormat="1" applyFont="1" applyFill="1" applyBorder="1" applyAlignment="1">
      <alignment vertical="center"/>
    </xf>
    <xf numFmtId="0" fontId="1" fillId="2" borderId="4" xfId="0" applyFont="1" applyFill="1" applyBorder="1" applyAlignment="1">
      <alignment horizontal="right" vertical="center"/>
    </xf>
    <xf numFmtId="178" fontId="6" fillId="3" borderId="9" xfId="0" applyNumberFormat="1" applyFont="1" applyFill="1" applyBorder="1" applyAlignment="1">
      <alignment horizontal="center" vertical="center"/>
    </xf>
    <xf numFmtId="178" fontId="12" fillId="0" borderId="0" xfId="0" applyNumberFormat="1" applyFont="1" applyAlignment="1">
      <alignment vertical="center"/>
    </xf>
    <xf numFmtId="178" fontId="1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right" vertical="center"/>
    </xf>
    <xf numFmtId="178" fontId="14" fillId="2" borderId="9" xfId="0" applyNumberFormat="1" applyFont="1" applyFill="1" applyBorder="1" applyAlignment="1">
      <alignment horizontal="center" vertical="center"/>
    </xf>
    <xf numFmtId="178" fontId="1" fillId="4" borderId="9" xfId="0" applyNumberFormat="1" applyFont="1" applyFill="1" applyBorder="1" applyAlignment="1">
      <alignment horizontal="center" vertical="center"/>
    </xf>
    <xf numFmtId="178" fontId="5" fillId="2" borderId="9" xfId="0" applyNumberFormat="1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vertical="center"/>
    </xf>
    <xf numFmtId="0" fontId="7" fillId="0" borderId="11" xfId="0" applyFont="1" applyBorder="1"/>
    <xf numFmtId="0" fontId="1" fillId="2" borderId="11" xfId="0" applyFont="1" applyFill="1" applyBorder="1" applyAlignment="1">
      <alignment vertical="center"/>
    </xf>
    <xf numFmtId="4" fontId="5" fillId="2" borderId="9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12" fillId="5" borderId="6" xfId="0" applyFont="1" applyFill="1" applyBorder="1" applyAlignment="1">
      <alignment horizontal="center" vertical="center"/>
    </xf>
    <xf numFmtId="179" fontId="1" fillId="2" borderId="8" xfId="0" applyNumberFormat="1" applyFont="1" applyFill="1" applyBorder="1" applyAlignment="1">
      <alignment horizontal="right" vertical="center"/>
    </xf>
    <xf numFmtId="0" fontId="12" fillId="5" borderId="9" xfId="0" applyFont="1" applyFill="1" applyBorder="1" applyAlignment="1">
      <alignment horizontal="right" vertical="center"/>
    </xf>
    <xf numFmtId="178" fontId="12" fillId="5" borderId="9" xfId="0" applyNumberFormat="1" applyFont="1" applyFill="1" applyBorder="1" applyAlignment="1">
      <alignment vertical="center"/>
    </xf>
    <xf numFmtId="178" fontId="6" fillId="5" borderId="9" xfId="0" applyNumberFormat="1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2" fillId="6" borderId="9" xfId="0" applyFont="1" applyFill="1" applyBorder="1" applyAlignment="1">
      <alignment horizontal="right" vertical="center"/>
    </xf>
    <xf numFmtId="178" fontId="12" fillId="6" borderId="9" xfId="0" applyNumberFormat="1" applyFont="1" applyFill="1" applyBorder="1" applyAlignment="1">
      <alignment vertical="center"/>
    </xf>
    <xf numFmtId="178" fontId="6" fillId="6" borderId="9" xfId="0" applyNumberFormat="1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12" fillId="7" borderId="6" xfId="0" applyFont="1" applyFill="1" applyBorder="1" applyAlignment="1">
      <alignment horizontal="center" vertical="center"/>
    </xf>
    <xf numFmtId="0" fontId="12" fillId="7" borderId="9" xfId="0" applyFont="1" applyFill="1" applyBorder="1" applyAlignment="1">
      <alignment horizontal="right" vertical="center"/>
    </xf>
    <xf numFmtId="178" fontId="12" fillId="7" borderId="9" xfId="0" applyNumberFormat="1" applyFont="1" applyFill="1" applyBorder="1" applyAlignment="1">
      <alignment vertical="center"/>
    </xf>
    <xf numFmtId="178" fontId="6" fillId="7" borderId="9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15" fillId="8" borderId="6" xfId="0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horizontal="center" vertical="center" wrapText="1"/>
    </xf>
    <xf numFmtId="0" fontId="16" fillId="9" borderId="9" xfId="0" applyFont="1" applyFill="1" applyBorder="1" applyAlignment="1">
      <alignment horizontal="center" vertical="center"/>
    </xf>
    <xf numFmtId="0" fontId="16" fillId="9" borderId="6" xfId="0" applyFont="1" applyFill="1" applyBorder="1" applyAlignment="1">
      <alignment horizontal="center" vertical="center" wrapText="1"/>
    </xf>
    <xf numFmtId="0" fontId="15" fillId="10" borderId="8" xfId="0" applyFont="1" applyFill="1" applyBorder="1" applyAlignment="1">
      <alignment horizontal="center" vertical="center"/>
    </xf>
    <xf numFmtId="0" fontId="17" fillId="3" borderId="6" xfId="0" applyFont="1" applyFill="1" applyBorder="1" applyAlignment="1">
      <alignment horizontal="center" vertical="center"/>
    </xf>
    <xf numFmtId="178" fontId="18" fillId="3" borderId="8" xfId="0" applyNumberFormat="1" applyFont="1" applyFill="1" applyBorder="1" applyAlignment="1">
      <alignment horizontal="center" vertical="center"/>
    </xf>
    <xf numFmtId="0" fontId="17" fillId="7" borderId="6" xfId="0" applyFont="1" applyFill="1" applyBorder="1" applyAlignment="1">
      <alignment horizontal="center" vertical="center"/>
    </xf>
    <xf numFmtId="178" fontId="18" fillId="7" borderId="8" xfId="0" applyNumberFormat="1" applyFont="1" applyFill="1" applyBorder="1" applyAlignment="1">
      <alignment horizontal="center" vertical="center"/>
    </xf>
    <xf numFmtId="0" fontId="17" fillId="5" borderId="6" xfId="0" applyFont="1" applyFill="1" applyBorder="1" applyAlignment="1">
      <alignment horizontal="center" vertical="center"/>
    </xf>
    <xf numFmtId="178" fontId="18" fillId="5" borderId="8" xfId="0" applyNumberFormat="1" applyFont="1" applyFill="1" applyBorder="1" applyAlignment="1">
      <alignment horizontal="center" vertical="center"/>
    </xf>
    <xf numFmtId="0" fontId="19" fillId="10" borderId="8" xfId="0" applyFont="1" applyFill="1" applyBorder="1" applyAlignment="1">
      <alignment horizontal="center" vertical="center"/>
    </xf>
    <xf numFmtId="0" fontId="17" fillId="6" borderId="6" xfId="0" applyFont="1" applyFill="1" applyBorder="1" applyAlignment="1">
      <alignment horizontal="center" vertical="center"/>
    </xf>
    <xf numFmtId="178" fontId="18" fillId="6" borderId="8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6" fillId="9" borderId="6" xfId="0" applyFont="1" applyFill="1" applyBorder="1" applyAlignment="1">
      <alignment horizontal="center" vertical="center"/>
    </xf>
    <xf numFmtId="9" fontId="19" fillId="10" borderId="8" xfId="0" applyNumberFormat="1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7" fillId="0" borderId="2" xfId="0" applyFont="1" applyBorder="1"/>
    <xf numFmtId="0" fontId="7" fillId="0" borderId="3" xfId="0" applyFont="1" applyBorder="1"/>
    <xf numFmtId="0" fontId="16" fillId="0" borderId="0" xfId="0" applyFont="1" applyAlignment="1">
      <alignment horizontal="center" vertical="center" wrapText="1"/>
    </xf>
    <xf numFmtId="0" fontId="15" fillId="10" borderId="12" xfId="0" applyFont="1" applyFill="1" applyBorder="1" applyAlignment="1">
      <alignment horizontal="center" vertical="center"/>
    </xf>
    <xf numFmtId="0" fontId="20" fillId="11" borderId="6" xfId="0" applyFont="1" applyFill="1" applyBorder="1" applyAlignment="1">
      <alignment horizontal="center" vertical="center" wrapText="1"/>
    </xf>
    <xf numFmtId="180" fontId="19" fillId="10" borderId="8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78" fontId="15" fillId="7" borderId="13" xfId="0" applyNumberFormat="1" applyFont="1" applyFill="1" applyBorder="1" applyAlignment="1">
      <alignment horizontal="center" vertical="center"/>
    </xf>
    <xf numFmtId="178" fontId="15" fillId="6" borderId="13" xfId="0" applyNumberFormat="1" applyFont="1" applyFill="1" applyBorder="1" applyAlignment="1">
      <alignment horizontal="center" vertical="center"/>
    </xf>
    <xf numFmtId="178" fontId="15" fillId="5" borderId="13" xfId="0" applyNumberFormat="1" applyFont="1" applyFill="1" applyBorder="1" applyAlignment="1">
      <alignment horizontal="center" vertical="center"/>
    </xf>
    <xf numFmtId="178" fontId="15" fillId="3" borderId="13" xfId="0" applyNumberFormat="1" applyFont="1" applyFill="1" applyBorder="1" applyAlignment="1">
      <alignment horizontal="center" vertical="center"/>
    </xf>
    <xf numFmtId="4" fontId="15" fillId="7" borderId="14" xfId="0" applyNumberFormat="1" applyFont="1" applyFill="1" applyBorder="1" applyAlignment="1">
      <alignment horizontal="center" vertical="center"/>
    </xf>
    <xf numFmtId="4" fontId="15" fillId="6" borderId="14" xfId="0" applyNumberFormat="1" applyFont="1" applyFill="1" applyBorder="1" applyAlignment="1">
      <alignment horizontal="center" vertical="center"/>
    </xf>
    <xf numFmtId="4" fontId="15" fillId="5" borderId="14" xfId="0" applyNumberFormat="1" applyFont="1" applyFill="1" applyBorder="1" applyAlignment="1">
      <alignment horizontal="center" vertical="center"/>
    </xf>
    <xf numFmtId="4" fontId="15" fillId="3" borderId="14" xfId="0" applyNumberFormat="1" applyFont="1" applyFill="1" applyBorder="1" applyAlignment="1">
      <alignment horizontal="center" vertical="center"/>
    </xf>
    <xf numFmtId="0" fontId="22" fillId="10" borderId="7" xfId="0" applyFont="1" applyFill="1" applyBorder="1" applyAlignment="1">
      <alignment horizontal="center" vertical="center"/>
    </xf>
    <xf numFmtId="0" fontId="22" fillId="10" borderId="6" xfId="0" applyFont="1" applyFill="1" applyBorder="1" applyAlignment="1">
      <alignment horizontal="center" vertical="center"/>
    </xf>
    <xf numFmtId="0" fontId="13" fillId="2" borderId="0" xfId="0" applyFont="1" applyFill="1" applyAlignment="1">
      <alignment vertical="center"/>
    </xf>
    <xf numFmtId="0" fontId="20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9" borderId="1" xfId="0" applyFont="1" applyFill="1" applyBorder="1" applyAlignment="1">
      <alignment horizontal="center" vertical="center"/>
    </xf>
    <xf numFmtId="0" fontId="23" fillId="9" borderId="8" xfId="0" applyFont="1" applyFill="1" applyBorder="1" applyAlignment="1">
      <alignment horizontal="center" vertical="center"/>
    </xf>
    <xf numFmtId="0" fontId="23" fillId="12" borderId="6" xfId="0" applyFont="1" applyFill="1" applyBorder="1" applyAlignment="1">
      <alignment horizontal="center" vertical="center"/>
    </xf>
    <xf numFmtId="0" fontId="23" fillId="12" borderId="7" xfId="0" applyFont="1" applyFill="1" applyBorder="1" applyAlignment="1">
      <alignment horizontal="center" vertical="center"/>
    </xf>
    <xf numFmtId="0" fontId="23" fillId="12" borderId="8" xfId="0" applyFont="1" applyFill="1" applyBorder="1" applyAlignment="1">
      <alignment horizontal="center" vertical="center"/>
    </xf>
    <xf numFmtId="0" fontId="23" fillId="12" borderId="2" xfId="0" applyFont="1" applyFill="1" applyBorder="1" applyAlignment="1">
      <alignment horizontal="center" vertical="center"/>
    </xf>
    <xf numFmtId="0" fontId="15" fillId="7" borderId="9" xfId="0" applyFont="1" applyFill="1" applyBorder="1" applyAlignment="1">
      <alignment horizontal="right" vertical="center"/>
    </xf>
    <xf numFmtId="181" fontId="24" fillId="7" borderId="6" xfId="0" applyNumberFormat="1" applyFont="1" applyFill="1" applyBorder="1" applyAlignment="1">
      <alignment horizontal="center" vertical="center"/>
    </xf>
    <xf numFmtId="181" fontId="24" fillId="7" borderId="15" xfId="0" applyNumberFormat="1" applyFont="1" applyFill="1" applyBorder="1" applyAlignment="1">
      <alignment horizontal="center" vertical="center"/>
    </xf>
    <xf numFmtId="181" fontId="24" fillId="7" borderId="7" xfId="0" applyNumberFormat="1" applyFont="1" applyFill="1" applyBorder="1" applyAlignment="1">
      <alignment horizontal="center" vertical="center"/>
    </xf>
    <xf numFmtId="180" fontId="24" fillId="7" borderId="8" xfId="0" applyNumberFormat="1" applyFont="1" applyFill="1" applyBorder="1" applyAlignment="1">
      <alignment horizontal="center" vertical="center"/>
    </xf>
    <xf numFmtId="181" fontId="13" fillId="0" borderId="7" xfId="0" applyNumberFormat="1" applyFont="1" applyBorder="1" applyAlignment="1">
      <alignment horizontal="center" vertical="center"/>
    </xf>
    <xf numFmtId="181" fontId="13" fillId="0" borderId="0" xfId="0" applyNumberFormat="1" applyFont="1" applyAlignment="1">
      <alignment horizontal="center" vertical="center"/>
    </xf>
    <xf numFmtId="181" fontId="13" fillId="0" borderId="0" xfId="0" applyNumberFormat="1" applyFont="1" applyAlignment="1">
      <alignment vertical="center"/>
    </xf>
    <xf numFmtId="0" fontId="15" fillId="6" borderId="9" xfId="0" applyFont="1" applyFill="1" applyBorder="1" applyAlignment="1">
      <alignment horizontal="right" vertical="center"/>
    </xf>
    <xf numFmtId="181" fontId="24" fillId="6" borderId="6" xfId="0" applyNumberFormat="1" applyFont="1" applyFill="1" applyBorder="1" applyAlignment="1">
      <alignment horizontal="center" vertical="center"/>
    </xf>
    <xf numFmtId="181" fontId="24" fillId="6" borderId="16" xfId="0" applyNumberFormat="1" applyFont="1" applyFill="1" applyBorder="1" applyAlignment="1">
      <alignment horizontal="center" vertical="center"/>
    </xf>
    <xf numFmtId="181" fontId="24" fillId="6" borderId="7" xfId="0" applyNumberFormat="1" applyFont="1" applyFill="1" applyBorder="1" applyAlignment="1">
      <alignment horizontal="center" vertical="center"/>
    </xf>
    <xf numFmtId="181" fontId="24" fillId="6" borderId="8" xfId="0" applyNumberFormat="1" applyFont="1" applyFill="1" applyBorder="1" applyAlignment="1">
      <alignment horizontal="center" vertical="center"/>
    </xf>
    <xf numFmtId="180" fontId="24" fillId="6" borderId="8" xfId="0" applyNumberFormat="1" applyFont="1" applyFill="1" applyBorder="1" applyAlignment="1">
      <alignment horizontal="center" vertical="center"/>
    </xf>
    <xf numFmtId="0" fontId="15" fillId="5" borderId="9" xfId="0" applyFont="1" applyFill="1" applyBorder="1" applyAlignment="1">
      <alignment horizontal="right" vertical="center"/>
    </xf>
    <xf numFmtId="181" fontId="24" fillId="5" borderId="6" xfId="0" applyNumberFormat="1" applyFont="1" applyFill="1" applyBorder="1" applyAlignment="1">
      <alignment horizontal="center" vertical="center"/>
    </xf>
    <xf numFmtId="181" fontId="24" fillId="5" borderId="16" xfId="0" applyNumberFormat="1" applyFont="1" applyFill="1" applyBorder="1" applyAlignment="1">
      <alignment horizontal="center" vertical="center"/>
    </xf>
    <xf numFmtId="181" fontId="24" fillId="5" borderId="7" xfId="0" applyNumberFormat="1" applyFont="1" applyFill="1" applyBorder="1" applyAlignment="1">
      <alignment horizontal="center" vertical="center"/>
    </xf>
    <xf numFmtId="181" fontId="24" fillId="5" borderId="8" xfId="0" applyNumberFormat="1" applyFont="1" applyFill="1" applyBorder="1" applyAlignment="1">
      <alignment horizontal="center" vertical="center"/>
    </xf>
    <xf numFmtId="180" fontId="24" fillId="5" borderId="8" xfId="0" applyNumberFormat="1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right" vertical="center"/>
    </xf>
    <xf numFmtId="181" fontId="24" fillId="3" borderId="6" xfId="0" applyNumberFormat="1" applyFont="1" applyFill="1" applyBorder="1" applyAlignment="1">
      <alignment horizontal="center" vertical="center"/>
    </xf>
    <xf numFmtId="181" fontId="24" fillId="3" borderId="17" xfId="0" applyNumberFormat="1" applyFont="1" applyFill="1" applyBorder="1" applyAlignment="1">
      <alignment horizontal="center" vertical="center"/>
    </xf>
    <xf numFmtId="181" fontId="24" fillId="3" borderId="7" xfId="0" applyNumberFormat="1" applyFont="1" applyFill="1" applyBorder="1" applyAlignment="1">
      <alignment horizontal="center" vertical="center"/>
    </xf>
    <xf numFmtId="181" fontId="24" fillId="3" borderId="8" xfId="0" applyNumberFormat="1" applyFont="1" applyFill="1" applyBorder="1" applyAlignment="1">
      <alignment horizontal="center" vertical="center"/>
    </xf>
    <xf numFmtId="180" fontId="24" fillId="3" borderId="8" xfId="0" applyNumberFormat="1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right" vertical="center"/>
    </xf>
    <xf numFmtId="181" fontId="1" fillId="2" borderId="8" xfId="0" applyNumberFormat="1" applyFont="1" applyFill="1" applyBorder="1" applyAlignment="1">
      <alignment horizontal="right" vertical="center"/>
    </xf>
    <xf numFmtId="0" fontId="12" fillId="3" borderId="14" xfId="0" applyFont="1" applyFill="1" applyBorder="1" applyAlignment="1">
      <alignment horizontal="right" vertical="center"/>
    </xf>
    <xf numFmtId="0" fontId="12" fillId="3" borderId="18" xfId="0" applyFont="1" applyFill="1" applyBorder="1" applyAlignment="1">
      <alignment horizontal="right" vertical="center"/>
    </xf>
    <xf numFmtId="181" fontId="1" fillId="2" borderId="18" xfId="0" applyNumberFormat="1" applyFont="1" applyFill="1" applyBorder="1" applyAlignment="1">
      <alignment horizontal="right" vertical="center"/>
    </xf>
    <xf numFmtId="178" fontId="1" fillId="2" borderId="14" xfId="0" applyNumberFormat="1" applyFont="1" applyFill="1" applyBorder="1" applyAlignment="1">
      <alignment horizontal="center" vertical="center"/>
    </xf>
    <xf numFmtId="1" fontId="12" fillId="3" borderId="9" xfId="0" applyNumberFormat="1" applyFont="1" applyFill="1" applyBorder="1" applyAlignment="1">
      <alignment horizontal="right" vertical="center"/>
    </xf>
    <xf numFmtId="181" fontId="2" fillId="2" borderId="8" xfId="0" applyNumberFormat="1" applyFont="1" applyFill="1" applyBorder="1" applyAlignment="1">
      <alignment horizontal="right"/>
    </xf>
    <xf numFmtId="0" fontId="25" fillId="0" borderId="0" xfId="0" applyFont="1" applyAlignment="1"/>
    <xf numFmtId="180" fontId="5" fillId="2" borderId="9" xfId="0" applyNumberFormat="1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12" fillId="5" borderId="8" xfId="0" applyFont="1" applyFill="1" applyBorder="1" applyAlignment="1">
      <alignment horizontal="right" vertical="center"/>
    </xf>
    <xf numFmtId="0" fontId="12" fillId="5" borderId="14" xfId="0" applyFont="1" applyFill="1" applyBorder="1" applyAlignment="1">
      <alignment horizontal="right" vertical="center"/>
    </xf>
    <xf numFmtId="0" fontId="12" fillId="5" borderId="18" xfId="0" applyFont="1" applyFill="1" applyBorder="1" applyAlignment="1">
      <alignment horizontal="right" vertical="center"/>
    </xf>
    <xf numFmtId="0" fontId="12" fillId="6" borderId="8" xfId="0" applyFont="1" applyFill="1" applyBorder="1" applyAlignment="1">
      <alignment horizontal="right" vertical="center"/>
    </xf>
    <xf numFmtId="0" fontId="12" fillId="6" borderId="14" xfId="0" applyFont="1" applyFill="1" applyBorder="1" applyAlignment="1">
      <alignment horizontal="right" vertical="center"/>
    </xf>
    <xf numFmtId="0" fontId="12" fillId="6" borderId="18" xfId="0" applyFont="1" applyFill="1" applyBorder="1" applyAlignment="1">
      <alignment horizontal="right" vertical="center"/>
    </xf>
    <xf numFmtId="0" fontId="12" fillId="7" borderId="8" xfId="0" applyFont="1" applyFill="1" applyBorder="1" applyAlignment="1">
      <alignment horizontal="right" vertical="center"/>
    </xf>
    <xf numFmtId="0" fontId="12" fillId="7" borderId="14" xfId="0" applyFont="1" applyFill="1" applyBorder="1" applyAlignment="1">
      <alignment horizontal="right" vertical="center"/>
    </xf>
    <xf numFmtId="0" fontId="12" fillId="7" borderId="18" xfId="0" applyFont="1" applyFill="1" applyBorder="1" applyAlignment="1">
      <alignment horizontal="right" vertical="center"/>
    </xf>
    <xf numFmtId="178" fontId="18" fillId="3" borderId="7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right" vertical="center"/>
    </xf>
    <xf numFmtId="178" fontId="18" fillId="7" borderId="7" xfId="0" applyNumberFormat="1" applyFont="1" applyFill="1" applyBorder="1" applyAlignment="1">
      <alignment horizontal="center" vertical="center"/>
    </xf>
    <xf numFmtId="0" fontId="18" fillId="7" borderId="8" xfId="0" applyFont="1" applyFill="1" applyBorder="1" applyAlignment="1">
      <alignment horizontal="center" vertical="center"/>
    </xf>
    <xf numFmtId="178" fontId="18" fillId="5" borderId="7" xfId="0" applyNumberFormat="1" applyFont="1" applyFill="1" applyBorder="1" applyAlignment="1">
      <alignment horizontal="center" vertical="center"/>
    </xf>
    <xf numFmtId="178" fontId="18" fillId="6" borderId="7" xfId="0" applyNumberFormat="1" applyFont="1" applyFill="1" applyBorder="1" applyAlignment="1">
      <alignment horizontal="center" vertical="center"/>
    </xf>
    <xf numFmtId="0" fontId="18" fillId="6" borderId="8" xfId="0" applyFont="1" applyFill="1" applyBorder="1" applyAlignment="1">
      <alignment horizontal="center" vertical="center"/>
    </xf>
    <xf numFmtId="0" fontId="27" fillId="10" borderId="12" xfId="0" applyFont="1" applyFill="1" applyBorder="1" applyAlignment="1">
      <alignment horizontal="center" vertical="center"/>
    </xf>
    <xf numFmtId="0" fontId="27" fillId="10" borderId="12" xfId="0" applyFont="1" applyFill="1" applyBorder="1" applyAlignment="1">
      <alignment horizontal="center" vertical="center" wrapText="1"/>
    </xf>
    <xf numFmtId="0" fontId="20" fillId="13" borderId="6" xfId="0" applyFont="1" applyFill="1" applyBorder="1" applyAlignment="1">
      <alignment horizontal="center" vertical="center" wrapText="1"/>
    </xf>
    <xf numFmtId="178" fontId="15" fillId="3" borderId="13" xfId="0" applyNumberFormat="1" applyFont="1" applyFill="1" applyBorder="1" applyAlignment="1">
      <alignment horizontal="center" vertical="center" wrapText="1"/>
    </xf>
    <xf numFmtId="180" fontId="15" fillId="7" borderId="14" xfId="0" applyNumberFormat="1" applyFont="1" applyFill="1" applyBorder="1" applyAlignment="1">
      <alignment horizontal="center" vertical="center"/>
    </xf>
    <xf numFmtId="180" fontId="15" fillId="6" borderId="14" xfId="0" applyNumberFormat="1" applyFont="1" applyFill="1" applyBorder="1" applyAlignment="1">
      <alignment horizontal="center" vertical="center"/>
    </xf>
    <xf numFmtId="180" fontId="15" fillId="5" borderId="14" xfId="0" applyNumberFormat="1" applyFont="1" applyFill="1" applyBorder="1" applyAlignment="1">
      <alignment horizontal="center" vertical="center"/>
    </xf>
    <xf numFmtId="180" fontId="15" fillId="3" borderId="14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8" fillId="0" borderId="0" xfId="0" applyFont="1" applyAlignment="1">
      <alignment horizontal="right" vertical="center"/>
    </xf>
    <xf numFmtId="0" fontId="23" fillId="0" borderId="12" xfId="0" applyFont="1" applyBorder="1" applyAlignment="1">
      <alignment horizontal="center" vertical="center"/>
    </xf>
    <xf numFmtId="0" fontId="23" fillId="12" borderId="3" xfId="0" applyFont="1" applyFill="1" applyBorder="1" applyAlignment="1">
      <alignment horizontal="center" vertical="center"/>
    </xf>
    <xf numFmtId="0" fontId="29" fillId="7" borderId="9" xfId="0" applyFont="1" applyFill="1" applyBorder="1" applyAlignment="1">
      <alignment horizontal="center" vertical="center"/>
    </xf>
    <xf numFmtId="181" fontId="24" fillId="7" borderId="4" xfId="0" applyNumberFormat="1" applyFont="1" applyFill="1" applyBorder="1" applyAlignment="1">
      <alignment horizontal="center" vertical="center"/>
    </xf>
    <xf numFmtId="181" fontId="24" fillId="7" borderId="19" xfId="0" applyNumberFormat="1" applyFont="1" applyFill="1" applyBorder="1" applyAlignment="1">
      <alignment horizontal="center" vertical="center"/>
    </xf>
    <xf numFmtId="181" fontId="24" fillId="0" borderId="13" xfId="0" applyNumberFormat="1" applyFont="1" applyBorder="1" applyAlignment="1">
      <alignment horizontal="center" vertical="center"/>
    </xf>
    <xf numFmtId="180" fontId="24" fillId="7" borderId="7" xfId="0" applyNumberFormat="1" applyFont="1" applyFill="1" applyBorder="1" applyAlignment="1">
      <alignment horizontal="center" vertical="center"/>
    </xf>
    <xf numFmtId="180" fontId="24" fillId="0" borderId="0" xfId="0" applyNumberFormat="1" applyFont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29" fillId="6" borderId="9" xfId="0" applyFont="1" applyFill="1" applyBorder="1" applyAlignment="1">
      <alignment horizontal="center" vertical="center"/>
    </xf>
    <xf numFmtId="181" fontId="24" fillId="6" borderId="4" xfId="0" applyNumberFormat="1" applyFont="1" applyFill="1" applyBorder="1" applyAlignment="1">
      <alignment horizontal="center" vertical="center"/>
    </xf>
    <xf numFmtId="181" fontId="24" fillId="6" borderId="19" xfId="0" applyNumberFormat="1" applyFont="1" applyFill="1" applyBorder="1" applyAlignment="1">
      <alignment horizontal="center" vertical="center"/>
    </xf>
    <xf numFmtId="180" fontId="24" fillId="6" borderId="7" xfId="0" applyNumberFormat="1" applyFont="1" applyFill="1" applyBorder="1" applyAlignment="1">
      <alignment horizontal="center" vertical="center"/>
    </xf>
    <xf numFmtId="0" fontId="29" fillId="5" borderId="9" xfId="0" applyFont="1" applyFill="1" applyBorder="1" applyAlignment="1">
      <alignment horizontal="center" vertical="center"/>
    </xf>
    <xf numFmtId="181" fontId="24" fillId="5" borderId="10" xfId="0" applyNumberFormat="1" applyFont="1" applyFill="1" applyBorder="1" applyAlignment="1">
      <alignment horizontal="center" vertical="center"/>
    </xf>
    <xf numFmtId="180" fontId="24" fillId="5" borderId="7" xfId="0" applyNumberFormat="1" applyFont="1" applyFill="1" applyBorder="1" applyAlignment="1">
      <alignment horizontal="center" vertical="center"/>
    </xf>
    <xf numFmtId="0" fontId="23" fillId="12" borderId="9" xfId="0" applyFont="1" applyFill="1" applyBorder="1" applyAlignment="1">
      <alignment horizontal="center" vertical="center"/>
    </xf>
    <xf numFmtId="0" fontId="29" fillId="3" borderId="9" xfId="0" applyFont="1" applyFill="1" applyBorder="1" applyAlignment="1">
      <alignment horizontal="center" vertical="center"/>
    </xf>
    <xf numFmtId="181" fontId="24" fillId="3" borderId="20" xfId="0" applyNumberFormat="1" applyFont="1" applyFill="1" applyBorder="1" applyAlignment="1">
      <alignment horizontal="center" vertical="center"/>
    </xf>
    <xf numFmtId="181" fontId="24" fillId="3" borderId="21" xfId="0" applyNumberFormat="1" applyFont="1" applyFill="1" applyBorder="1" applyAlignment="1">
      <alignment horizontal="center" vertical="center"/>
    </xf>
    <xf numFmtId="180" fontId="24" fillId="3" borderId="14" xfId="0" applyNumberFormat="1" applyFont="1" applyFill="1" applyBorder="1" applyAlignment="1">
      <alignment horizontal="center" vertical="center"/>
    </xf>
    <xf numFmtId="0" fontId="29" fillId="3" borderId="9" xfId="0" applyFont="1" applyFill="1" applyBorder="1" applyAlignment="1">
      <alignment horizontal="center" vertical="center" wrapText="1"/>
    </xf>
    <xf numFmtId="181" fontId="24" fillId="3" borderId="22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38100</xdr:colOff>
      <xdr:row>1</xdr:row>
      <xdr:rowOff>38100</xdr:rowOff>
    </xdr:from>
    <xdr:ext cx="2981325" cy="704850"/>
    <xdr:pic>
      <xdr:nvPicPr>
        <xdr:cNvPr id="2" name="image5.png" title="Imagen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228600" y="228600"/>
          <a:ext cx="2981325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571500</xdr:colOff>
      <xdr:row>1</xdr:row>
      <xdr:rowOff>66675</xdr:rowOff>
    </xdr:from>
    <xdr:ext cx="2238375" cy="638175"/>
    <xdr:pic>
      <xdr:nvPicPr>
        <xdr:cNvPr id="3" name="image1.png" title="Imagen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4467225" y="257175"/>
          <a:ext cx="2238375" cy="6381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571500</xdr:colOff>
      <xdr:row>1</xdr:row>
      <xdr:rowOff>66675</xdr:rowOff>
    </xdr:from>
    <xdr:ext cx="2238375" cy="638175"/>
    <xdr:pic>
      <xdr:nvPicPr>
        <xdr:cNvPr id="2" name="image1.png" title="Imagen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4457700" y="257175"/>
          <a:ext cx="2238375" cy="6381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1</xdr:row>
      <xdr:rowOff>95250</xdr:rowOff>
    </xdr:from>
    <xdr:ext cx="2066925" cy="485775"/>
    <xdr:pic>
      <xdr:nvPicPr>
        <xdr:cNvPr id="3" name="image2.png" title="Imagen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285750" y="285750"/>
          <a:ext cx="2066925" cy="4857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85725</xdr:colOff>
      <xdr:row>1</xdr:row>
      <xdr:rowOff>57150</xdr:rowOff>
    </xdr:from>
    <xdr:ext cx="2771775" cy="542925"/>
    <xdr:pic>
      <xdr:nvPicPr>
        <xdr:cNvPr id="2" name="image4.png" title="Imagen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266700" y="247650"/>
          <a:ext cx="2771775" cy="5429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571500</xdr:colOff>
      <xdr:row>1</xdr:row>
      <xdr:rowOff>66675</xdr:rowOff>
    </xdr:from>
    <xdr:ext cx="2238375" cy="638175"/>
    <xdr:pic>
      <xdr:nvPicPr>
        <xdr:cNvPr id="3" name="image1.png" title="Imagen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4457700" y="257175"/>
          <a:ext cx="2238375" cy="6381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85725</xdr:colOff>
      <xdr:row>1</xdr:row>
      <xdr:rowOff>57150</xdr:rowOff>
    </xdr:from>
    <xdr:ext cx="2771775" cy="542925"/>
    <xdr:pic>
      <xdr:nvPicPr>
        <xdr:cNvPr id="2" name="image4.png" title="Imagen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266700" y="247650"/>
          <a:ext cx="2771775" cy="5429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571500</xdr:colOff>
      <xdr:row>1</xdr:row>
      <xdr:rowOff>66675</xdr:rowOff>
    </xdr:from>
    <xdr:ext cx="2238375" cy="638175"/>
    <xdr:pic>
      <xdr:nvPicPr>
        <xdr:cNvPr id="3" name="image1.png" title="Imagen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4457700" y="257175"/>
          <a:ext cx="2238375" cy="63817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47625</xdr:colOff>
      <xdr:row>1</xdr:row>
      <xdr:rowOff>66675</xdr:rowOff>
    </xdr:from>
    <xdr:ext cx="3086100" cy="638175"/>
    <xdr:pic>
      <xdr:nvPicPr>
        <xdr:cNvPr id="2" name="image3.png" title="Imagen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219075" y="228600"/>
          <a:ext cx="3086100" cy="6381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571500</xdr:colOff>
      <xdr:row>1</xdr:row>
      <xdr:rowOff>66675</xdr:rowOff>
    </xdr:from>
    <xdr:ext cx="2238375" cy="638175"/>
    <xdr:pic>
      <xdr:nvPicPr>
        <xdr:cNvPr id="3" name="image1.png" title="Imagen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3648075" y="228600"/>
          <a:ext cx="2238375" cy="6381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47625</xdr:colOff>
      <xdr:row>1</xdr:row>
      <xdr:rowOff>66675</xdr:rowOff>
    </xdr:from>
    <xdr:ext cx="3086100" cy="638175"/>
    <xdr:pic>
      <xdr:nvPicPr>
        <xdr:cNvPr id="2" name="image3.png" title="Imagen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219075" y="228600"/>
          <a:ext cx="3086100" cy="6381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571500</xdr:colOff>
      <xdr:row>1</xdr:row>
      <xdr:rowOff>66675</xdr:rowOff>
    </xdr:from>
    <xdr:ext cx="2238375" cy="638175"/>
    <xdr:pic>
      <xdr:nvPicPr>
        <xdr:cNvPr id="3" name="image1.png" title="Imagen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4486275" y="228600"/>
          <a:ext cx="2238375" cy="63817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38100</xdr:colOff>
      <xdr:row>1</xdr:row>
      <xdr:rowOff>38100</xdr:rowOff>
    </xdr:from>
    <xdr:ext cx="2981325" cy="704850"/>
    <xdr:pic>
      <xdr:nvPicPr>
        <xdr:cNvPr id="2" name="image5.png" title="Imagen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228600" y="228600"/>
          <a:ext cx="2981325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571500</xdr:colOff>
      <xdr:row>1</xdr:row>
      <xdr:rowOff>66675</xdr:rowOff>
    </xdr:from>
    <xdr:ext cx="2238375" cy="638175"/>
    <xdr:pic>
      <xdr:nvPicPr>
        <xdr:cNvPr id="3" name="image1.png" title="Imagen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4467225" y="257175"/>
          <a:ext cx="2238375" cy="638175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571500</xdr:colOff>
      <xdr:row>1</xdr:row>
      <xdr:rowOff>66675</xdr:rowOff>
    </xdr:from>
    <xdr:ext cx="2238375" cy="638175"/>
    <xdr:pic>
      <xdr:nvPicPr>
        <xdr:cNvPr id="2" name="image1.png" title="Imagen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4457700" y="257175"/>
          <a:ext cx="2238375" cy="6381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1</xdr:row>
      <xdr:rowOff>95250</xdr:rowOff>
    </xdr:from>
    <xdr:ext cx="2066925" cy="485775"/>
    <xdr:pic>
      <xdr:nvPicPr>
        <xdr:cNvPr id="3" name="image2.png" title="Imagen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285750" y="285750"/>
          <a:ext cx="2066925" cy="485775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85725</xdr:colOff>
      <xdr:row>1</xdr:row>
      <xdr:rowOff>57150</xdr:rowOff>
    </xdr:from>
    <xdr:ext cx="2771775" cy="542925"/>
    <xdr:pic>
      <xdr:nvPicPr>
        <xdr:cNvPr id="2" name="image4.png" title="Imagen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266700" y="247650"/>
          <a:ext cx="2771775" cy="5429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571500</xdr:colOff>
      <xdr:row>1</xdr:row>
      <xdr:rowOff>66675</xdr:rowOff>
    </xdr:from>
    <xdr:ext cx="2238375" cy="638175"/>
    <xdr:pic>
      <xdr:nvPicPr>
        <xdr:cNvPr id="3" name="image1.png" title="Imagen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4457700" y="257175"/>
          <a:ext cx="2238375" cy="638175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47625</xdr:colOff>
      <xdr:row>1</xdr:row>
      <xdr:rowOff>66675</xdr:rowOff>
    </xdr:from>
    <xdr:ext cx="3086100" cy="638175"/>
    <xdr:pic>
      <xdr:nvPicPr>
        <xdr:cNvPr id="2" name="image3.png" title="Imagen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219075" y="228600"/>
          <a:ext cx="3086100" cy="6381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571500</xdr:colOff>
      <xdr:row>1</xdr:row>
      <xdr:rowOff>66675</xdr:rowOff>
    </xdr:from>
    <xdr:ext cx="2238375" cy="638175"/>
    <xdr:pic>
      <xdr:nvPicPr>
        <xdr:cNvPr id="3" name="image1.png" title="Imagen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4486275" y="228600"/>
          <a:ext cx="2238375" cy="6381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0080"/>
    <outlinePr summaryBelow="0" summaryRight="0"/>
  </sheetPr>
  <dimension ref="A1:K36"/>
  <sheetViews>
    <sheetView showGridLines="0" workbookViewId="0">
      <selection activeCell="N22" sqref="N22"/>
    </sheetView>
  </sheetViews>
  <sheetFormatPr defaultColWidth="12.5714285714286" defaultRowHeight="15.75" customHeight="1"/>
  <cols>
    <col min="1" max="1" width="3.57142857142857" customWidth="1"/>
    <col min="2" max="2" width="23.8571428571429" customWidth="1"/>
    <col min="3" max="10" width="17.2857142857143" customWidth="1"/>
    <col min="11" max="11" width="5" customWidth="1"/>
  </cols>
  <sheetData>
    <row r="1" ht="17.25" customHeight="1" spans="1:11">
      <c r="A1" s="70"/>
      <c r="B1" s="71"/>
      <c r="C1" s="70"/>
      <c r="D1" s="70"/>
      <c r="E1" s="70"/>
      <c r="F1" s="70"/>
      <c r="G1" s="70"/>
      <c r="H1" s="70"/>
      <c r="I1" s="70"/>
      <c r="J1" s="70"/>
      <c r="K1" s="70"/>
    </row>
    <row r="2" ht="32.25" customHeight="1" spans="1:11">
      <c r="A2" s="70"/>
      <c r="B2" s="72" t="s">
        <v>0</v>
      </c>
      <c r="C2" s="17"/>
      <c r="D2" s="70"/>
      <c r="E2" s="73" t="s">
        <v>1</v>
      </c>
      <c r="F2" s="16"/>
      <c r="G2" s="16"/>
      <c r="H2" s="16"/>
      <c r="I2" s="17"/>
      <c r="J2" s="70"/>
      <c r="K2" s="70"/>
    </row>
    <row r="3" ht="16.5" customHeight="1" spans="1:11">
      <c r="A3" s="70"/>
      <c r="B3" s="71"/>
      <c r="C3" s="70"/>
      <c r="D3" s="70"/>
      <c r="E3" s="70"/>
      <c r="F3" s="70"/>
      <c r="G3" s="70"/>
      <c r="H3" s="70"/>
      <c r="I3" s="70"/>
      <c r="J3" s="70"/>
      <c r="K3" s="70"/>
    </row>
    <row r="4" ht="16.5" customHeight="1" spans="1:11">
      <c r="A4" s="70"/>
      <c r="B4" s="71"/>
      <c r="C4" s="70"/>
      <c r="D4" s="70"/>
      <c r="E4" s="70"/>
      <c r="F4" s="70"/>
      <c r="G4" s="74" t="s">
        <v>2</v>
      </c>
      <c r="H4" s="74" t="s">
        <v>3</v>
      </c>
      <c r="I4" s="70"/>
      <c r="J4" s="70"/>
      <c r="K4" s="70"/>
    </row>
    <row r="5" ht="28.5" customHeight="1" spans="1:11">
      <c r="A5" s="70"/>
      <c r="B5" s="75" t="s">
        <v>4</v>
      </c>
      <c r="C5" s="76">
        <v>31</v>
      </c>
      <c r="D5" s="70"/>
      <c r="E5" s="77" t="s">
        <v>5</v>
      </c>
      <c r="F5" s="16"/>
      <c r="G5" s="163">
        <f>GanaEnergía24H!H33</f>
        <v>200.7989604</v>
      </c>
      <c r="H5" s="78">
        <f>GanaEnergíaPDM!H35</f>
        <v>171.6148238335</v>
      </c>
      <c r="I5" s="70"/>
      <c r="J5" s="70"/>
      <c r="K5" s="70"/>
    </row>
    <row r="6" ht="16.5" customHeight="1" spans="1:11">
      <c r="A6" s="70"/>
      <c r="B6" s="164"/>
      <c r="C6" s="70"/>
      <c r="D6" s="70"/>
      <c r="E6" s="70"/>
      <c r="F6" s="70"/>
      <c r="G6" s="74" t="s">
        <v>6</v>
      </c>
      <c r="H6" s="74" t="s">
        <v>7</v>
      </c>
      <c r="I6" s="70"/>
      <c r="J6" s="70"/>
      <c r="K6" s="70"/>
    </row>
    <row r="7" ht="28.5" customHeight="1" spans="1:11">
      <c r="A7" s="70"/>
      <c r="B7" s="75" t="s">
        <v>8</v>
      </c>
      <c r="C7" s="76">
        <v>5</v>
      </c>
      <c r="D7" s="70"/>
      <c r="E7" s="79" t="s">
        <v>9</v>
      </c>
      <c r="F7" s="16"/>
      <c r="G7" s="165">
        <f>IberdrolaIMPULSA!H33</f>
        <v>198.80552</v>
      </c>
      <c r="H7" s="166" t="s">
        <v>7</v>
      </c>
      <c r="K7" s="70"/>
    </row>
    <row r="8" ht="16.5" customHeight="1" spans="1:11">
      <c r="A8" s="70"/>
      <c r="B8" s="164"/>
      <c r="C8" s="70"/>
      <c r="D8" s="70"/>
      <c r="E8" s="70"/>
      <c r="F8" s="70"/>
      <c r="G8" s="74" t="s">
        <v>10</v>
      </c>
      <c r="H8" s="74" t="s">
        <v>11</v>
      </c>
      <c r="K8" s="70"/>
    </row>
    <row r="9" ht="28.5" customHeight="1" spans="1:11">
      <c r="A9" s="70"/>
      <c r="B9" s="75" t="s">
        <v>12</v>
      </c>
      <c r="C9" s="76">
        <v>1066</v>
      </c>
      <c r="D9" s="70"/>
      <c r="E9" s="81" t="s">
        <v>13</v>
      </c>
      <c r="F9" s="16"/>
      <c r="G9" s="167">
        <f>EndesaFIJA24HCP!H33</f>
        <v>206.49046</v>
      </c>
      <c r="H9" s="82">
        <f>EndesaFIJA24HSP!H33</f>
        <v>206.49046</v>
      </c>
      <c r="K9" s="70"/>
    </row>
    <row r="10" ht="19.5" customHeight="1" spans="1:11">
      <c r="A10" s="70"/>
      <c r="B10" s="164"/>
      <c r="C10" s="70"/>
      <c r="D10" s="70"/>
      <c r="E10" s="70"/>
      <c r="F10" s="70"/>
      <c r="G10" s="74" t="s">
        <v>14</v>
      </c>
      <c r="H10" s="74" t="s">
        <v>7</v>
      </c>
      <c r="K10" s="70"/>
    </row>
    <row r="11" ht="28.5" customHeight="1" spans="1:11">
      <c r="A11" s="70"/>
      <c r="B11" s="75" t="s">
        <v>15</v>
      </c>
      <c r="C11" s="83" t="s">
        <v>16</v>
      </c>
      <c r="D11" s="96"/>
      <c r="E11" s="84" t="s">
        <v>17</v>
      </c>
      <c r="F11" s="16"/>
      <c r="G11" s="168">
        <f>NaturgyPORUSO!H33</f>
        <v>195.8088786</v>
      </c>
      <c r="H11" s="169" t="s">
        <v>7</v>
      </c>
      <c r="K11" s="70"/>
    </row>
    <row r="12" ht="22.5" customHeight="1" spans="1:11">
      <c r="A12" s="70"/>
      <c r="B12" s="164"/>
      <c r="C12" s="70"/>
      <c r="D12" s="70"/>
      <c r="E12" s="70"/>
      <c r="F12" s="70"/>
      <c r="G12" s="70"/>
      <c r="H12" s="70"/>
      <c r="I12" s="70"/>
      <c r="J12" s="70"/>
      <c r="K12" s="70"/>
    </row>
    <row r="13" ht="28.5" customHeight="1" spans="1:11">
      <c r="A13" s="70"/>
      <c r="B13" s="87" t="s">
        <v>18</v>
      </c>
      <c r="C13" s="88">
        <v>0.21</v>
      </c>
      <c r="D13" s="70"/>
      <c r="E13" s="89" t="s">
        <v>19</v>
      </c>
      <c r="F13" s="90"/>
      <c r="G13" s="90"/>
      <c r="H13" s="90"/>
      <c r="I13" s="90"/>
      <c r="J13" s="91"/>
      <c r="K13" s="70"/>
    </row>
    <row r="14" ht="28.5" customHeight="1" spans="1:11">
      <c r="A14" s="70"/>
      <c r="B14" s="164"/>
      <c r="C14" s="70"/>
      <c r="D14" s="70"/>
      <c r="E14" s="170" t="s">
        <v>9</v>
      </c>
      <c r="F14" s="170" t="s">
        <v>17</v>
      </c>
      <c r="G14" s="170" t="s">
        <v>20</v>
      </c>
      <c r="H14" s="170" t="s">
        <v>21</v>
      </c>
      <c r="I14" s="170" t="s">
        <v>5</v>
      </c>
      <c r="J14" s="171" t="s">
        <v>22</v>
      </c>
      <c r="K14" s="70"/>
    </row>
    <row r="15" ht="27.75" customHeight="1" spans="1:11">
      <c r="A15" s="70"/>
      <c r="B15" s="172" t="s">
        <v>23</v>
      </c>
      <c r="C15" s="95">
        <v>169.41</v>
      </c>
      <c r="D15" s="70"/>
      <c r="E15" s="97">
        <f>IberdrolaIMPULSA!H37</f>
        <v>-29.39552</v>
      </c>
      <c r="F15" s="98">
        <f>NaturgyPORUSO!H37</f>
        <v>-26.3988786</v>
      </c>
      <c r="G15" s="99">
        <f>EndesaFIJA24HCP!H37</f>
        <v>-37.08046</v>
      </c>
      <c r="H15" s="99">
        <f>EndesaFIJA24HSP!H37</f>
        <v>-37.08046</v>
      </c>
      <c r="I15" s="100">
        <f>GanaEnergía24H!H37</f>
        <v>-31.3889604</v>
      </c>
      <c r="J15" s="173">
        <f>GanaEnergíaPDM!H39</f>
        <v>-2.20482383350003</v>
      </c>
      <c r="K15" s="70"/>
    </row>
    <row r="16" ht="27.75" customHeight="1" spans="1:11">
      <c r="A16" s="70"/>
      <c r="B16" s="71"/>
      <c r="C16" s="70"/>
      <c r="D16" s="70"/>
      <c r="E16" s="174">
        <f>IberdrolaIMPULSA!H39</f>
        <v>-352.74624</v>
      </c>
      <c r="F16" s="175">
        <f>NaturgyPORUSO!H39</f>
        <v>-316.7865432</v>
      </c>
      <c r="G16" s="176">
        <f>EndesaFIJA24HCP!H39</f>
        <v>-444.96552</v>
      </c>
      <c r="H16" s="176">
        <f>EndesaFIJA24HSP!H39</f>
        <v>-444.96552</v>
      </c>
      <c r="I16" s="177">
        <f>GanaEnergía24H!H39</f>
        <v>-376.6675248</v>
      </c>
      <c r="J16" s="177">
        <f>GanaEnergíaPDM!H41</f>
        <v>-26.4578860020004</v>
      </c>
      <c r="K16" s="70"/>
    </row>
    <row r="17" ht="16.5" customHeight="1" spans="1:11">
      <c r="A17" s="70"/>
      <c r="B17" s="71"/>
      <c r="C17" s="70"/>
      <c r="D17" s="70"/>
      <c r="E17" s="70"/>
      <c r="F17" s="70"/>
      <c r="G17" s="70"/>
      <c r="H17" s="70"/>
      <c r="I17" s="70"/>
      <c r="J17" s="70"/>
      <c r="K17" s="70"/>
    </row>
    <row r="18" ht="19.5" customHeight="1" spans="1:11">
      <c r="A18" s="70"/>
      <c r="B18" s="87" t="s">
        <v>24</v>
      </c>
      <c r="C18" s="105" t="s">
        <v>7</v>
      </c>
      <c r="D18" s="16"/>
      <c r="E18" s="16"/>
      <c r="F18" s="16"/>
      <c r="G18" s="16"/>
      <c r="H18" s="16"/>
      <c r="I18" s="17"/>
      <c r="J18" s="70"/>
      <c r="K18" s="70"/>
    </row>
    <row r="19" ht="16.5" customHeight="1" spans="1:11">
      <c r="A19" s="70"/>
      <c r="B19" s="71"/>
      <c r="C19" s="70"/>
      <c r="D19" s="70"/>
      <c r="E19" s="70"/>
      <c r="F19" s="70"/>
      <c r="G19" s="70"/>
      <c r="H19" s="70"/>
      <c r="I19" s="70"/>
      <c r="J19" s="70"/>
      <c r="K19" s="70"/>
    </row>
    <row r="20" ht="19.5" customHeight="1" spans="1:11">
      <c r="A20" s="70"/>
      <c r="B20" s="87" t="s">
        <v>25</v>
      </c>
      <c r="C20" s="105" t="s">
        <v>7</v>
      </c>
      <c r="D20" s="16"/>
      <c r="E20" s="16"/>
      <c r="F20" s="16"/>
      <c r="G20" s="16"/>
      <c r="H20" s="16"/>
      <c r="I20" s="17"/>
      <c r="J20" s="70"/>
      <c r="K20" s="70"/>
    </row>
    <row r="21" ht="16.5" customHeight="1" spans="1:11">
      <c r="A21" s="70"/>
      <c r="B21" s="71"/>
      <c r="C21" s="70"/>
      <c r="D21" s="70"/>
      <c r="E21" s="70"/>
      <c r="F21" s="70"/>
      <c r="G21" s="70"/>
      <c r="H21" s="70"/>
      <c r="I21" s="70"/>
      <c r="J21" s="70"/>
      <c r="K21" s="70"/>
    </row>
    <row r="22" ht="32.25" customHeight="1" spans="1:11">
      <c r="A22" s="70"/>
      <c r="B22" s="72" t="s">
        <v>26</v>
      </c>
      <c r="C22" s="16"/>
      <c r="D22" s="16"/>
      <c r="E22" s="16"/>
      <c r="F22" s="16"/>
      <c r="G22" s="16"/>
      <c r="H22" s="16"/>
      <c r="I22" s="17"/>
      <c r="J22" s="70"/>
      <c r="K22" s="70"/>
    </row>
    <row r="23" ht="16.5" customHeight="1" spans="1:11">
      <c r="A23" s="70"/>
      <c r="B23" s="71"/>
      <c r="C23" s="70"/>
      <c r="D23" s="70"/>
      <c r="E23" s="70"/>
      <c r="F23" s="70"/>
      <c r="G23" s="70"/>
      <c r="H23" s="70"/>
      <c r="I23" s="70"/>
      <c r="J23" s="70"/>
      <c r="K23" s="70"/>
    </row>
    <row r="24" ht="23.25" customHeight="1" spans="1:11">
      <c r="A24" s="70"/>
      <c r="B24" s="71"/>
      <c r="C24" s="111" t="s">
        <v>27</v>
      </c>
      <c r="D24" s="91"/>
      <c r="E24" s="111" t="s">
        <v>28</v>
      </c>
      <c r="F24" s="90"/>
      <c r="G24" s="90"/>
      <c r="H24" s="91"/>
      <c r="I24" s="178"/>
      <c r="J24" s="70"/>
      <c r="K24" s="70"/>
    </row>
    <row r="25" ht="16.5" customHeight="1" spans="1:11">
      <c r="A25" s="179"/>
      <c r="B25" s="180"/>
      <c r="C25" s="113" t="s">
        <v>29</v>
      </c>
      <c r="D25" s="115" t="s">
        <v>30</v>
      </c>
      <c r="E25" s="115" t="s">
        <v>31</v>
      </c>
      <c r="F25" s="114" t="s">
        <v>32</v>
      </c>
      <c r="G25" s="181"/>
      <c r="H25" s="182" t="s">
        <v>33</v>
      </c>
      <c r="I25" s="178"/>
      <c r="J25" s="179"/>
      <c r="K25" s="179"/>
    </row>
    <row r="26" ht="32.25" customHeight="1" spans="1:11">
      <c r="A26" s="70"/>
      <c r="B26" s="183" t="s">
        <v>9</v>
      </c>
      <c r="C26" s="184">
        <v>0.124</v>
      </c>
      <c r="D26" s="185">
        <v>0.062</v>
      </c>
      <c r="E26" s="184">
        <v>0.117</v>
      </c>
      <c r="F26" s="118">
        <v>0.124</v>
      </c>
      <c r="G26" s="186"/>
      <c r="H26" s="187">
        <v>4.48</v>
      </c>
      <c r="I26" s="188"/>
      <c r="J26" s="70"/>
      <c r="K26" s="70"/>
    </row>
    <row r="27" ht="19.5" customHeight="1" spans="1:11">
      <c r="A27" s="70"/>
      <c r="B27" s="180"/>
      <c r="C27" s="113" t="s">
        <v>29</v>
      </c>
      <c r="D27" s="115" t="s">
        <v>30</v>
      </c>
      <c r="E27" s="115" t="s">
        <v>31</v>
      </c>
      <c r="F27" s="114" t="s">
        <v>32</v>
      </c>
      <c r="G27" s="189"/>
      <c r="H27" s="182" t="s">
        <v>33</v>
      </c>
      <c r="I27" s="70"/>
      <c r="J27" s="70"/>
      <c r="K27" s="70"/>
    </row>
    <row r="28" ht="32.25" customHeight="1" spans="1:11">
      <c r="A28" s="70"/>
      <c r="B28" s="190" t="s">
        <v>17</v>
      </c>
      <c r="C28" s="191">
        <v>0.123</v>
      </c>
      <c r="D28" s="192">
        <v>0.061562</v>
      </c>
      <c r="E28" s="191">
        <v>0.112</v>
      </c>
      <c r="F28" s="191">
        <v>0.112</v>
      </c>
      <c r="G28" s="186"/>
      <c r="H28" s="193">
        <v>8.48</v>
      </c>
      <c r="I28" s="70"/>
      <c r="J28" s="70"/>
      <c r="K28" s="70"/>
    </row>
    <row r="29" ht="16.5" customHeight="1" spans="1:11">
      <c r="A29" s="179"/>
      <c r="B29" s="180"/>
      <c r="C29" s="113" t="s">
        <v>29</v>
      </c>
      <c r="D29" s="115" t="s">
        <v>30</v>
      </c>
      <c r="E29" s="115" t="s">
        <v>31</v>
      </c>
      <c r="F29" s="114" t="s">
        <v>32</v>
      </c>
      <c r="G29" s="189"/>
      <c r="H29" s="182" t="s">
        <v>33</v>
      </c>
      <c r="I29" s="178"/>
      <c r="J29" s="179"/>
      <c r="K29" s="179"/>
    </row>
    <row r="30" ht="32.25" customHeight="1" spans="1:11">
      <c r="A30" s="70"/>
      <c r="B30" s="194" t="s">
        <v>34</v>
      </c>
      <c r="C30" s="195">
        <v>0.0913</v>
      </c>
      <c r="D30" s="195">
        <v>0.0913</v>
      </c>
      <c r="E30" s="195">
        <v>0.123</v>
      </c>
      <c r="F30" s="132">
        <v>0.127</v>
      </c>
      <c r="G30" s="186"/>
      <c r="H30" s="196">
        <v>4.77</v>
      </c>
      <c r="I30" s="188"/>
      <c r="J30" s="70"/>
      <c r="K30" s="70"/>
    </row>
    <row r="31" ht="32.25" customHeight="1" spans="1:11">
      <c r="A31" s="70"/>
      <c r="B31" s="194" t="s">
        <v>35</v>
      </c>
      <c r="C31" s="195">
        <v>0.0913</v>
      </c>
      <c r="D31" s="195">
        <v>0.0913</v>
      </c>
      <c r="E31" s="195">
        <v>0.123</v>
      </c>
      <c r="F31" s="132">
        <v>0.127</v>
      </c>
      <c r="G31" s="186"/>
      <c r="H31" s="196">
        <v>4.77</v>
      </c>
      <c r="I31" s="188"/>
      <c r="J31" s="70"/>
      <c r="K31" s="70"/>
    </row>
    <row r="32" ht="16.5" customHeight="1" spans="1:11">
      <c r="A32" s="179"/>
      <c r="B32" s="180"/>
      <c r="C32" s="113" t="s">
        <v>29</v>
      </c>
      <c r="D32" s="115" t="s">
        <v>30</v>
      </c>
      <c r="E32" s="114" t="s">
        <v>32</v>
      </c>
      <c r="F32" s="16"/>
      <c r="G32" s="17"/>
      <c r="H32" s="197" t="s">
        <v>33</v>
      </c>
      <c r="I32" s="178"/>
      <c r="J32" s="179"/>
      <c r="K32" s="179"/>
    </row>
    <row r="33" ht="32.25" customHeight="1" spans="1:11">
      <c r="A33" s="70"/>
      <c r="B33" s="198" t="s">
        <v>5</v>
      </c>
      <c r="C33" s="199">
        <v>0.089434</v>
      </c>
      <c r="D33" s="199">
        <v>0.089434</v>
      </c>
      <c r="E33" s="138">
        <v>0.119</v>
      </c>
      <c r="F33" s="200"/>
      <c r="G33" s="200"/>
      <c r="H33" s="201">
        <v>5.18</v>
      </c>
      <c r="I33" s="188"/>
      <c r="J33" s="70"/>
      <c r="K33" s="70"/>
    </row>
    <row r="34" ht="32.25" customHeight="1" spans="1:11">
      <c r="A34" s="70"/>
      <c r="B34" s="202" t="s">
        <v>36</v>
      </c>
      <c r="C34" s="199">
        <v>0.075903</v>
      </c>
      <c r="D34" s="199">
        <v>0.001988</v>
      </c>
      <c r="E34" s="203">
        <v>0.105</v>
      </c>
      <c r="F34" s="140">
        <v>0.125</v>
      </c>
      <c r="G34" s="199">
        <v>0.191</v>
      </c>
      <c r="H34" s="201">
        <v>5.18</v>
      </c>
      <c r="I34" s="188"/>
      <c r="J34" s="70"/>
      <c r="K34" s="70"/>
    </row>
    <row r="35" ht="19.5" customHeight="1" spans="1:11">
      <c r="A35" s="70"/>
      <c r="B35" s="71"/>
      <c r="C35" s="70"/>
      <c r="D35" s="70"/>
      <c r="E35" s="70"/>
      <c r="F35" s="70"/>
      <c r="G35" s="70"/>
      <c r="H35" s="70"/>
      <c r="I35" s="70"/>
      <c r="J35" s="70"/>
      <c r="K35" s="70"/>
    </row>
    <row r="36" ht="19.5" customHeight="1" spans="1:11">
      <c r="A36" s="70"/>
      <c r="B36" s="71"/>
      <c r="C36" s="70"/>
      <c r="D36" s="70"/>
      <c r="E36" s="70"/>
      <c r="F36" s="70"/>
      <c r="G36" s="70"/>
      <c r="H36" s="70"/>
      <c r="I36" s="70"/>
      <c r="J36" s="70"/>
      <c r="K36" s="70"/>
    </row>
  </sheetData>
  <mergeCells count="13">
    <mergeCell ref="B2:C2"/>
    <mergeCell ref="E2:I2"/>
    <mergeCell ref="E5:F5"/>
    <mergeCell ref="E7:F7"/>
    <mergeCell ref="E9:F9"/>
    <mergeCell ref="E11:F11"/>
    <mergeCell ref="E13:J13"/>
    <mergeCell ref="C18:I18"/>
    <mergeCell ref="C20:I20"/>
    <mergeCell ref="B22:I22"/>
    <mergeCell ref="C24:D24"/>
    <mergeCell ref="E24:H24"/>
    <mergeCell ref="E32:G32"/>
  </mergeCells>
  <dataValidations count="2">
    <dataValidation type="list" allowBlank="1" showErrorMessage="1" sqref="C11">
      <formula1>"SI,NO"</formula1>
    </dataValidation>
    <dataValidation type="list" allowBlank="1" showErrorMessage="1" sqref="C13">
      <formula1>"21%,10%,7%,3%,0%"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A86E8"/>
    <outlinePr summaryBelow="0" summaryRight="0"/>
    <pageSetUpPr fitToPage="1"/>
  </sheetPr>
  <dimension ref="A1:I45"/>
  <sheetViews>
    <sheetView showGridLines="0" workbookViewId="0">
      <selection activeCell="A1" sqref="A1"/>
    </sheetView>
  </sheetViews>
  <sheetFormatPr defaultColWidth="12.5714285714286" defaultRowHeight="15.75" customHeight="1"/>
  <cols>
    <col min="1" max="1" width="2.85714285714286" customWidth="1"/>
    <col min="4" max="4" width="14" customWidth="1"/>
    <col min="5" max="5" width="3.85714285714286" customWidth="1"/>
    <col min="9" max="9" width="3.28571428571429" customWidth="1"/>
  </cols>
  <sheetData>
    <row r="1" ht="15" spans="1:9">
      <c r="A1" s="1"/>
      <c r="B1" s="2"/>
      <c r="C1" s="2"/>
      <c r="D1" s="2"/>
      <c r="E1" s="2"/>
      <c r="F1" s="2"/>
      <c r="G1" s="2"/>
      <c r="H1" s="3"/>
      <c r="I1" s="4"/>
    </row>
    <row r="2" ht="15" spans="1:9">
      <c r="A2" s="5"/>
      <c r="B2" s="6"/>
      <c r="C2" s="7"/>
      <c r="D2" s="7"/>
      <c r="E2" s="7"/>
      <c r="F2" s="7"/>
      <c r="G2" s="7"/>
      <c r="H2" s="8"/>
      <c r="I2" s="4"/>
    </row>
    <row r="3" ht="15" spans="1:9">
      <c r="A3" s="5"/>
      <c r="B3" s="9"/>
      <c r="C3" s="10"/>
      <c r="D3" s="10"/>
      <c r="E3" s="10"/>
      <c r="F3" s="2"/>
      <c r="G3" s="2"/>
      <c r="H3" s="11"/>
      <c r="I3" s="4"/>
    </row>
    <row r="4" ht="15" spans="1:9">
      <c r="A4" s="5"/>
      <c r="B4" s="12"/>
      <c r="C4" s="2"/>
      <c r="D4" s="13"/>
      <c r="E4" s="2"/>
      <c r="F4" s="2"/>
      <c r="G4" s="2"/>
      <c r="H4" s="11"/>
      <c r="I4" s="4"/>
    </row>
    <row r="5" ht="15" spans="1:9">
      <c r="A5" s="5"/>
      <c r="B5" s="12"/>
      <c r="C5" s="2"/>
      <c r="D5" s="2"/>
      <c r="E5" s="2"/>
      <c r="F5" s="2"/>
      <c r="G5" s="2"/>
      <c r="H5" s="11"/>
      <c r="I5" s="4"/>
    </row>
    <row r="6" ht="15" spans="1:9">
      <c r="A6" s="5"/>
      <c r="B6" s="14" t="s">
        <v>37</v>
      </c>
      <c r="D6" s="64" t="str">
        <f>'DATOS LUZ'!C18</f>
        <v>-</v>
      </c>
      <c r="E6" s="16"/>
      <c r="F6" s="16"/>
      <c r="G6" s="16"/>
      <c r="H6" s="17"/>
      <c r="I6" s="4"/>
    </row>
    <row r="7" ht="8.25" customHeight="1" spans="1:9">
      <c r="A7" s="5"/>
      <c r="B7" s="12"/>
      <c r="C7" s="2"/>
      <c r="D7" s="2"/>
      <c r="E7" s="2"/>
      <c r="F7" s="2"/>
      <c r="G7" s="2"/>
      <c r="H7" s="11"/>
      <c r="I7" s="4"/>
    </row>
    <row r="8" ht="15" spans="1:9">
      <c r="A8" s="5"/>
      <c r="B8" s="14" t="s">
        <v>25</v>
      </c>
      <c r="D8" s="64" t="str">
        <f>'DATOS LUZ'!C20</f>
        <v>-</v>
      </c>
      <c r="E8" s="16"/>
      <c r="F8" s="16"/>
      <c r="G8" s="16"/>
      <c r="H8" s="17"/>
      <c r="I8" s="4"/>
    </row>
    <row r="9" ht="8.25" customHeight="1" spans="1:9">
      <c r="A9" s="5"/>
      <c r="B9" s="12"/>
      <c r="C9" s="2"/>
      <c r="D9" s="2"/>
      <c r="E9" s="2"/>
      <c r="F9" s="2"/>
      <c r="G9" s="2"/>
      <c r="H9" s="11"/>
      <c r="I9" s="4"/>
    </row>
    <row r="10" ht="20.25" customHeight="1" spans="1:9">
      <c r="A10" s="5"/>
      <c r="B10" s="14" t="s">
        <v>38</v>
      </c>
      <c r="D10" s="65" t="s">
        <v>39</v>
      </c>
      <c r="E10" s="16"/>
      <c r="F10" s="16"/>
      <c r="G10" s="16"/>
      <c r="H10" s="17"/>
      <c r="I10" s="4"/>
    </row>
    <row r="11" ht="8.25" customHeight="1" spans="1:9">
      <c r="A11" s="5"/>
      <c r="B11" s="12"/>
      <c r="C11" s="19"/>
      <c r="D11" s="2"/>
      <c r="E11" s="2"/>
      <c r="F11" s="2"/>
      <c r="G11" s="2"/>
      <c r="H11" s="11"/>
      <c r="I11" s="4"/>
    </row>
    <row r="12" ht="15" spans="1:9">
      <c r="A12" s="5"/>
      <c r="B12" s="14" t="s">
        <v>40</v>
      </c>
      <c r="D12" s="64" t="s">
        <v>41</v>
      </c>
      <c r="E12" s="16"/>
      <c r="F12" s="16"/>
      <c r="G12" s="16"/>
      <c r="H12" s="17"/>
      <c r="I12" s="4"/>
    </row>
    <row r="13" ht="19.5" spans="1:9">
      <c r="A13" s="5"/>
      <c r="B13" s="25"/>
      <c r="C13" s="33"/>
      <c r="D13" s="2"/>
      <c r="E13" s="2"/>
      <c r="F13" s="2"/>
      <c r="G13" s="2"/>
      <c r="H13" s="11"/>
      <c r="I13" s="4"/>
    </row>
    <row r="14" ht="19.5" spans="1:9">
      <c r="A14" s="5"/>
      <c r="B14" s="25" t="s">
        <v>42</v>
      </c>
      <c r="D14" s="2"/>
      <c r="E14" s="2"/>
      <c r="F14" s="2"/>
      <c r="G14" s="2"/>
      <c r="H14" s="11"/>
      <c r="I14" s="4"/>
    </row>
    <row r="15" ht="15" spans="1:9">
      <c r="A15" s="5"/>
      <c r="B15" s="26" t="s">
        <v>43</v>
      </c>
      <c r="C15" s="27" t="s">
        <v>44</v>
      </c>
      <c r="D15" s="27" t="s">
        <v>45</v>
      </c>
      <c r="E15" s="27"/>
      <c r="F15" s="27"/>
      <c r="G15" s="27"/>
      <c r="H15" s="28" t="s">
        <v>46</v>
      </c>
      <c r="I15" s="4"/>
    </row>
    <row r="16" ht="15" spans="1:9">
      <c r="A16" s="5"/>
      <c r="B16" s="67">
        <f>'DATOS LUZ'!C7</f>
        <v>5</v>
      </c>
      <c r="C16" s="160">
        <f>'DATOS LUZ'!C5</f>
        <v>31</v>
      </c>
      <c r="D16" s="144">
        <f>'DATOS LUZ'!C26</f>
        <v>0.124</v>
      </c>
      <c r="E16" s="31" t="s">
        <v>29</v>
      </c>
      <c r="F16" s="2" t="s">
        <v>47</v>
      </c>
      <c r="H16" s="32">
        <f t="shared" ref="H16:H17" si="0">B16*C16*D16</f>
        <v>19.22</v>
      </c>
      <c r="I16" s="4"/>
    </row>
    <row r="17" ht="15" spans="1:9">
      <c r="A17" s="5"/>
      <c r="B17" s="161">
        <f>'DATOS LUZ'!C7</f>
        <v>5</v>
      </c>
      <c r="C17" s="162">
        <f>'DATOS LUZ'!C5</f>
        <v>31</v>
      </c>
      <c r="D17" s="147">
        <f>'DATOS LUZ'!D26</f>
        <v>0.062</v>
      </c>
      <c r="E17" s="31" t="s">
        <v>30</v>
      </c>
      <c r="F17" s="2" t="s">
        <v>47</v>
      </c>
      <c r="H17" s="148">
        <f t="shared" si="0"/>
        <v>9.61</v>
      </c>
      <c r="I17" s="4"/>
    </row>
    <row r="18" ht="15" spans="1:9">
      <c r="A18" s="5"/>
      <c r="B18" s="12"/>
      <c r="C18" s="2"/>
      <c r="D18" s="2"/>
      <c r="E18" s="2"/>
      <c r="F18" s="2"/>
      <c r="G18" s="2"/>
      <c r="H18" s="11"/>
      <c r="I18" s="4"/>
    </row>
    <row r="19" ht="19.5" spans="1:9">
      <c r="A19" s="5"/>
      <c r="B19" s="25" t="s">
        <v>48</v>
      </c>
      <c r="D19" s="33"/>
      <c r="E19" s="33"/>
      <c r="F19" s="2"/>
      <c r="G19" s="2"/>
      <c r="H19" s="11"/>
      <c r="I19" s="4"/>
    </row>
    <row r="20" ht="15" spans="1:9">
      <c r="A20" s="5"/>
      <c r="B20" s="26" t="s">
        <v>49</v>
      </c>
      <c r="C20" s="27" t="s">
        <v>50</v>
      </c>
      <c r="D20" s="27"/>
      <c r="E20" s="27"/>
      <c r="F20" s="27"/>
      <c r="G20" s="27"/>
      <c r="H20" s="34"/>
      <c r="I20" s="4"/>
    </row>
    <row r="21" ht="15" spans="1:9">
      <c r="A21" s="5"/>
      <c r="B21" s="67">
        <f>'DATOS LUZ'!C9</f>
        <v>1066</v>
      </c>
      <c r="C21" s="144">
        <f t="array" ref="C21">IFERROR(INDEX('DATOS LUZ'!E26:F26,1,MATCH('DATOS LUZ'!C11,{"SI";"NO"},0)),"")</f>
        <v>0.117</v>
      </c>
      <c r="D21" s="31" t="s">
        <v>29</v>
      </c>
      <c r="E21" s="2" t="s">
        <v>51</v>
      </c>
      <c r="H21" s="32">
        <f>B21*C21</f>
        <v>124.722</v>
      </c>
      <c r="I21" s="4"/>
    </row>
    <row r="22" ht="15" spans="1:9">
      <c r="A22" s="5"/>
      <c r="B22" s="12"/>
      <c r="C22" s="2"/>
      <c r="D22" s="2"/>
      <c r="E22" s="2"/>
      <c r="F22" s="2"/>
      <c r="G22" s="2"/>
      <c r="H22" s="11"/>
      <c r="I22" s="4"/>
    </row>
    <row r="23" ht="19.5" spans="1:9">
      <c r="A23" s="5"/>
      <c r="B23" s="25" t="s">
        <v>52</v>
      </c>
      <c r="E23" s="2"/>
      <c r="F23" s="2"/>
      <c r="G23" s="2"/>
      <c r="H23" s="11"/>
      <c r="I23" s="4"/>
    </row>
    <row r="24" ht="15" spans="1:9">
      <c r="A24" s="5"/>
      <c r="B24" s="68">
        <f>H16+H17+H21</f>
        <v>153.552</v>
      </c>
      <c r="C24" s="2" t="s">
        <v>53</v>
      </c>
      <c r="H24" s="32">
        <f>B24*0.05</f>
        <v>7.6776</v>
      </c>
      <c r="I24" s="4"/>
    </row>
    <row r="25" ht="15" spans="1:9">
      <c r="A25" s="5"/>
      <c r="B25" s="12"/>
      <c r="C25" s="2"/>
      <c r="D25" s="2"/>
      <c r="E25" s="2"/>
      <c r="F25" s="2"/>
      <c r="G25" s="2"/>
      <c r="H25" s="11"/>
      <c r="I25" s="4"/>
    </row>
    <row r="26" ht="19.5" spans="1:9">
      <c r="A26" s="5"/>
      <c r="B26" s="25" t="s">
        <v>54</v>
      </c>
      <c r="D26" s="33"/>
      <c r="E26" s="2"/>
      <c r="F26" s="2"/>
      <c r="G26" s="2"/>
      <c r="H26" s="11"/>
      <c r="I26" s="4"/>
    </row>
    <row r="27" ht="15" spans="1:9">
      <c r="A27" s="5"/>
      <c r="B27" s="12"/>
      <c r="C27" s="5" t="s">
        <v>55</v>
      </c>
      <c r="D27" s="2" t="s">
        <v>51</v>
      </c>
      <c r="H27" s="32">
        <v>0.85</v>
      </c>
      <c r="I27" s="4"/>
    </row>
    <row r="28" ht="15" spans="1:9">
      <c r="A28" s="5"/>
      <c r="B28" s="12"/>
      <c r="C28" s="2"/>
      <c r="D28" s="2"/>
      <c r="E28" s="2"/>
      <c r="F28" s="2"/>
      <c r="G28" s="2"/>
      <c r="H28" s="41"/>
      <c r="I28" s="4"/>
    </row>
    <row r="29" ht="15" spans="1:9">
      <c r="A29" s="5"/>
      <c r="B29" s="38" t="s">
        <v>56</v>
      </c>
      <c r="C29" s="69" t="s">
        <v>57</v>
      </c>
      <c r="D29" s="2" t="s">
        <v>51</v>
      </c>
      <c r="H29" s="32">
        <f>IF('DATOS LUZ'!C11="SI",'DATOS LUZ'!H26,0)</f>
        <v>4.48</v>
      </c>
      <c r="I29" s="4"/>
    </row>
    <row r="30" ht="15" spans="1:9">
      <c r="A30" s="5"/>
      <c r="B30" s="12"/>
      <c r="C30" s="2"/>
      <c r="D30" s="2"/>
      <c r="E30" s="2"/>
      <c r="F30" s="2"/>
      <c r="G30" s="2"/>
      <c r="H30" s="11"/>
      <c r="I30" s="4"/>
    </row>
    <row r="31" ht="15" spans="1:9">
      <c r="A31" s="5"/>
      <c r="B31" s="38" t="s">
        <v>58</v>
      </c>
      <c r="C31" s="68">
        <f>B24</f>
        <v>153.552</v>
      </c>
      <c r="D31" s="2" t="s">
        <v>51</v>
      </c>
      <c r="H31" s="32">
        <f>C31*'DATOS LUZ'!C13</f>
        <v>32.24592</v>
      </c>
      <c r="I31" s="4"/>
    </row>
    <row r="32" ht="15" spans="1:9">
      <c r="A32" s="5"/>
      <c r="B32" s="12"/>
      <c r="C32" s="2"/>
      <c r="D32" s="2"/>
      <c r="E32" s="2"/>
      <c r="F32" s="2"/>
      <c r="G32" s="2"/>
      <c r="H32" s="11"/>
      <c r="I32" s="4"/>
    </row>
    <row r="33" ht="21" spans="1:9">
      <c r="A33" s="5"/>
      <c r="B33" s="42" t="s">
        <v>59</v>
      </c>
      <c r="C33" s="2" t="s">
        <v>60</v>
      </c>
      <c r="H33" s="43">
        <f>H16+H17+H21+H24+H27+H31+H29</f>
        <v>198.80552</v>
      </c>
      <c r="I33" s="4"/>
    </row>
    <row r="34" ht="15" spans="1:9">
      <c r="A34" s="5"/>
      <c r="B34" s="12"/>
      <c r="F34" s="2"/>
      <c r="G34" s="2"/>
      <c r="H34" s="11"/>
      <c r="I34" s="4"/>
    </row>
    <row r="35" ht="15" spans="1:9">
      <c r="A35" s="5"/>
      <c r="B35" s="12" t="s">
        <v>61</v>
      </c>
      <c r="H35" s="44">
        <f>'DATOS LUZ'!C15</f>
        <v>169.41</v>
      </c>
      <c r="I35" s="4"/>
    </row>
    <row r="36" ht="15" spans="1:9">
      <c r="A36" s="5"/>
      <c r="B36" s="12"/>
      <c r="C36" s="2"/>
      <c r="D36" s="2"/>
      <c r="E36" s="2"/>
      <c r="F36" s="2"/>
      <c r="G36" s="2"/>
      <c r="H36" s="11"/>
      <c r="I36" s="4"/>
    </row>
    <row r="37" ht="15" spans="1:9">
      <c r="A37" s="5"/>
      <c r="B37" s="12" t="s">
        <v>62</v>
      </c>
      <c r="D37" s="2" t="s">
        <v>51</v>
      </c>
      <c r="H37" s="45">
        <f>H35-H33</f>
        <v>-29.39552</v>
      </c>
      <c r="I37" s="4"/>
    </row>
    <row r="38" ht="15" spans="1:9">
      <c r="A38" s="5"/>
      <c r="B38" s="12"/>
      <c r="C38" s="2"/>
      <c r="D38" s="2"/>
      <c r="E38" s="2"/>
      <c r="F38" s="2"/>
      <c r="G38" s="2"/>
      <c r="H38" s="11"/>
      <c r="I38" s="4"/>
    </row>
    <row r="39" ht="15" spans="1:9">
      <c r="A39" s="5"/>
      <c r="B39" s="46" t="s">
        <v>63</v>
      </c>
      <c r="C39" s="47"/>
      <c r="D39" s="48" t="s">
        <v>51</v>
      </c>
      <c r="E39" s="47"/>
      <c r="F39" s="47"/>
      <c r="G39" s="47"/>
      <c r="H39" s="152">
        <f>H37*12</f>
        <v>-352.74624</v>
      </c>
      <c r="I39" s="4"/>
    </row>
    <row r="40" ht="15" spans="1:9">
      <c r="A40" s="5"/>
      <c r="B40" s="2"/>
      <c r="C40" s="2"/>
      <c r="D40" s="2"/>
      <c r="E40" s="2"/>
      <c r="F40" s="2"/>
      <c r="G40" s="2"/>
      <c r="H40" s="3"/>
      <c r="I40" s="4"/>
    </row>
    <row r="41" ht="15" spans="1:9">
      <c r="A41" s="4"/>
      <c r="B41" s="4"/>
      <c r="C41" s="4"/>
      <c r="D41" s="4"/>
      <c r="E41" s="4"/>
      <c r="F41" s="4"/>
      <c r="G41" s="4"/>
      <c r="H41" s="50"/>
      <c r="I41" s="4"/>
    </row>
    <row r="42" ht="15" spans="1:9">
      <c r="A42" s="4"/>
      <c r="B42" s="4"/>
      <c r="C42" s="4"/>
      <c r="D42" s="4"/>
      <c r="E42" s="4"/>
      <c r="F42" s="4"/>
      <c r="G42" s="4"/>
      <c r="H42" s="50"/>
      <c r="I42" s="4"/>
    </row>
    <row r="43" ht="15" spans="1:9">
      <c r="A43" s="4"/>
      <c r="B43" s="4"/>
      <c r="C43" s="4"/>
      <c r="D43" s="4"/>
      <c r="E43" s="4"/>
      <c r="F43" s="4"/>
      <c r="G43" s="4"/>
      <c r="H43" s="50"/>
      <c r="I43" s="4"/>
    </row>
    <row r="44" ht="15" spans="1:9">
      <c r="A44" s="4"/>
      <c r="B44" s="4"/>
      <c r="C44" s="4"/>
      <c r="D44" s="4"/>
      <c r="E44" s="4"/>
      <c r="F44" s="4"/>
      <c r="G44" s="4"/>
      <c r="H44" s="50"/>
      <c r="I44" s="4"/>
    </row>
    <row r="45" ht="15" spans="1:9">
      <c r="A45" s="4"/>
      <c r="B45" s="4"/>
      <c r="C45" s="4"/>
      <c r="D45" s="4"/>
      <c r="E45" s="4"/>
      <c r="F45" s="4"/>
      <c r="G45" s="4"/>
      <c r="H45" s="50"/>
      <c r="I45" s="4"/>
    </row>
  </sheetData>
  <mergeCells count="26">
    <mergeCell ref="B6:C6"/>
    <mergeCell ref="D6:H6"/>
    <mergeCell ref="B8:C8"/>
    <mergeCell ref="D8:H8"/>
    <mergeCell ref="B10:C10"/>
    <mergeCell ref="D10:H10"/>
    <mergeCell ref="B12:C12"/>
    <mergeCell ref="D12:H12"/>
    <mergeCell ref="B14:C14"/>
    <mergeCell ref="F16:G16"/>
    <mergeCell ref="F17:G17"/>
    <mergeCell ref="B19:C19"/>
    <mergeCell ref="E21:G21"/>
    <mergeCell ref="B23:D23"/>
    <mergeCell ref="C24:G24"/>
    <mergeCell ref="B26:C26"/>
    <mergeCell ref="D27:G27"/>
    <mergeCell ref="D29:G29"/>
    <mergeCell ref="D31:G31"/>
    <mergeCell ref="C33:G33"/>
    <mergeCell ref="B34:E34"/>
    <mergeCell ref="B35:G35"/>
    <mergeCell ref="B37:C37"/>
    <mergeCell ref="D37:G37"/>
    <mergeCell ref="B39:C39"/>
    <mergeCell ref="D39:G39"/>
  </mergeCells>
  <printOptions horizontalCentered="1" verticalCentered="1" gridLines="1"/>
  <pageMargins left="0" right="0" top="0" bottom="0" header="0" footer="0"/>
  <pageSetup paperSize="9" pageOrder="overThenDown" orientation="portrait" cellComments="atEnd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A86E8"/>
    <outlinePr summaryBelow="0" summaryRight="0"/>
    <pageSetUpPr fitToPage="1"/>
  </sheetPr>
  <dimension ref="A1:I45"/>
  <sheetViews>
    <sheetView showGridLines="0" tabSelected="1" workbookViewId="0">
      <selection activeCell="H43" sqref="H43"/>
    </sheetView>
  </sheetViews>
  <sheetFormatPr defaultColWidth="12.5714285714286" defaultRowHeight="15.75" customHeight="1"/>
  <cols>
    <col min="1" max="1" width="2.71428571428571" customWidth="1"/>
    <col min="4" max="4" width="14" customWidth="1"/>
    <col min="5" max="5" width="3.85714285714286" customWidth="1"/>
    <col min="9" max="9" width="3" customWidth="1"/>
  </cols>
  <sheetData>
    <row r="1" ht="15" spans="1:9">
      <c r="A1" s="1"/>
      <c r="B1" s="2"/>
      <c r="C1" s="2"/>
      <c r="D1" s="2"/>
      <c r="E1" s="2"/>
      <c r="F1" s="2"/>
      <c r="G1" s="2"/>
      <c r="H1" s="3"/>
      <c r="I1" s="4"/>
    </row>
    <row r="2" ht="15" spans="1:9">
      <c r="A2" s="5"/>
      <c r="B2" s="6"/>
      <c r="C2" s="7"/>
      <c r="D2" s="7"/>
      <c r="E2" s="7"/>
      <c r="F2" s="7"/>
      <c r="G2" s="7"/>
      <c r="H2" s="8"/>
      <c r="I2" s="4"/>
    </row>
    <row r="3" ht="15" spans="1:9">
      <c r="A3" s="5"/>
      <c r="B3" s="9"/>
      <c r="C3" s="10"/>
      <c r="D3" s="10"/>
      <c r="E3" s="10"/>
      <c r="F3" s="2"/>
      <c r="G3" s="2"/>
      <c r="H3" s="11"/>
      <c r="I3" s="4"/>
    </row>
    <row r="4" ht="15" spans="1:9">
      <c r="A4" s="5"/>
      <c r="B4" s="12"/>
      <c r="C4" s="2"/>
      <c r="D4" s="13"/>
      <c r="E4" s="2"/>
      <c r="F4" s="2"/>
      <c r="G4" s="2"/>
      <c r="H4" s="11"/>
      <c r="I4" s="4"/>
    </row>
    <row r="5" ht="15" spans="1:9">
      <c r="A5" s="5"/>
      <c r="B5" s="12"/>
      <c r="C5" s="2"/>
      <c r="D5" s="2"/>
      <c r="E5" s="2"/>
      <c r="F5" s="2"/>
      <c r="G5" s="2"/>
      <c r="H5" s="11"/>
      <c r="I5" s="4"/>
    </row>
    <row r="6" ht="15" spans="1:9">
      <c r="A6" s="5"/>
      <c r="B6" s="14" t="s">
        <v>37</v>
      </c>
      <c r="D6" s="58" t="str">
        <f>'DATOS LUZ'!C18</f>
        <v>-</v>
      </c>
      <c r="E6" s="16"/>
      <c r="F6" s="16"/>
      <c r="G6" s="16"/>
      <c r="H6" s="17"/>
      <c r="I6" s="4"/>
    </row>
    <row r="7" ht="8.25" customHeight="1" spans="1:9">
      <c r="A7" s="5"/>
      <c r="B7" s="12"/>
      <c r="C7" s="2"/>
      <c r="D7" s="2"/>
      <c r="E7" s="2"/>
      <c r="F7" s="2"/>
      <c r="G7" s="2"/>
      <c r="H7" s="11"/>
      <c r="I7" s="4"/>
    </row>
    <row r="8" ht="15" spans="1:9">
      <c r="A8" s="5"/>
      <c r="B8" s="14" t="s">
        <v>25</v>
      </c>
      <c r="D8" s="58" t="str">
        <f>'DATOS LUZ'!C20</f>
        <v>-</v>
      </c>
      <c r="E8" s="16"/>
      <c r="F8" s="16"/>
      <c r="G8" s="16"/>
      <c r="H8" s="17"/>
      <c r="I8" s="4"/>
    </row>
    <row r="9" ht="8.25" customHeight="1" spans="1:9">
      <c r="A9" s="5"/>
      <c r="B9" s="12"/>
      <c r="C9" s="2"/>
      <c r="D9" s="2"/>
      <c r="E9" s="2"/>
      <c r="F9" s="2"/>
      <c r="G9" s="2"/>
      <c r="H9" s="11"/>
      <c r="I9" s="4"/>
    </row>
    <row r="10" ht="20.25" customHeight="1" spans="1:9">
      <c r="A10" s="5"/>
      <c r="B10" s="14" t="s">
        <v>38</v>
      </c>
      <c r="D10" s="59" t="s">
        <v>64</v>
      </c>
      <c r="E10" s="16"/>
      <c r="F10" s="16"/>
      <c r="G10" s="16"/>
      <c r="H10" s="17"/>
      <c r="I10" s="4"/>
    </row>
    <row r="11" ht="8.25" customHeight="1" spans="1:9">
      <c r="A11" s="5"/>
      <c r="B11" s="12"/>
      <c r="C11" s="19"/>
      <c r="D11" s="2"/>
      <c r="E11" s="2"/>
      <c r="F11" s="2"/>
      <c r="G11" s="2"/>
      <c r="H11" s="11"/>
      <c r="I11" s="4"/>
    </row>
    <row r="12" ht="15" spans="1:9">
      <c r="A12" s="5"/>
      <c r="B12" s="14" t="s">
        <v>40</v>
      </c>
      <c r="D12" s="58" t="s">
        <v>41</v>
      </c>
      <c r="E12" s="16"/>
      <c r="F12" s="16"/>
      <c r="G12" s="16"/>
      <c r="H12" s="17"/>
      <c r="I12" s="4"/>
    </row>
    <row r="13" ht="19.5" spans="1:9">
      <c r="A13" s="5"/>
      <c r="B13" s="25"/>
      <c r="C13" s="33"/>
      <c r="D13" s="2"/>
      <c r="E13" s="2"/>
      <c r="F13" s="2"/>
      <c r="G13" s="2"/>
      <c r="H13" s="11"/>
      <c r="I13" s="4"/>
    </row>
    <row r="14" ht="19.5" spans="1:9">
      <c r="A14" s="5"/>
      <c r="B14" s="25" t="s">
        <v>42</v>
      </c>
      <c r="D14" s="2"/>
      <c r="E14" s="2"/>
      <c r="F14" s="2"/>
      <c r="G14" s="2"/>
      <c r="H14" s="11"/>
      <c r="I14" s="4"/>
    </row>
    <row r="15" ht="15" spans="1:9">
      <c r="A15" s="5"/>
      <c r="B15" s="26" t="s">
        <v>43</v>
      </c>
      <c r="C15" s="27" t="s">
        <v>44</v>
      </c>
      <c r="D15" s="27" t="s">
        <v>45</v>
      </c>
      <c r="E15" s="27"/>
      <c r="F15" s="27"/>
      <c r="G15" s="27"/>
      <c r="H15" s="28" t="s">
        <v>46</v>
      </c>
      <c r="I15" s="4"/>
    </row>
    <row r="16" ht="15" spans="1:9">
      <c r="A16" s="5"/>
      <c r="B16" s="61">
        <f>'DATOS LUZ'!C7</f>
        <v>5</v>
      </c>
      <c r="C16" s="157">
        <f>'DATOS LUZ'!C5</f>
        <v>31</v>
      </c>
      <c r="D16" s="144">
        <f>'DATOS LUZ'!C28</f>
        <v>0.123</v>
      </c>
      <c r="E16" s="31" t="s">
        <v>29</v>
      </c>
      <c r="F16" s="2" t="s">
        <v>47</v>
      </c>
      <c r="H16" s="32">
        <f t="shared" ref="H16:H17" si="0">B16*C16*D16</f>
        <v>19.065</v>
      </c>
      <c r="I16" s="4"/>
    </row>
    <row r="17" ht="15" spans="1:9">
      <c r="A17" s="5"/>
      <c r="B17" s="158">
        <f>'DATOS LUZ'!C7</f>
        <v>5</v>
      </c>
      <c r="C17" s="159">
        <f>'DATOS LUZ'!C5</f>
        <v>31</v>
      </c>
      <c r="D17" s="147">
        <f>'DATOS LUZ'!D28</f>
        <v>0.061562</v>
      </c>
      <c r="E17" s="31" t="s">
        <v>30</v>
      </c>
      <c r="F17" s="2" t="s">
        <v>47</v>
      </c>
      <c r="H17" s="148">
        <f t="shared" si="0"/>
        <v>9.54211</v>
      </c>
      <c r="I17" s="4"/>
    </row>
    <row r="18" ht="15" spans="1:9">
      <c r="A18" s="5"/>
      <c r="B18" s="12"/>
      <c r="C18" s="2"/>
      <c r="D18" s="2"/>
      <c r="E18" s="2"/>
      <c r="F18" s="2"/>
      <c r="G18" s="2"/>
      <c r="H18" s="11"/>
      <c r="I18" s="4"/>
    </row>
    <row r="19" ht="19.5" spans="1:9">
      <c r="A19" s="5"/>
      <c r="B19" s="25" t="s">
        <v>48</v>
      </c>
      <c r="D19" s="33"/>
      <c r="E19" s="33"/>
      <c r="F19" s="2"/>
      <c r="G19" s="2"/>
      <c r="H19" s="11"/>
      <c r="I19" s="4"/>
    </row>
    <row r="20" ht="15" spans="1:9">
      <c r="A20" s="5"/>
      <c r="B20" s="26" t="s">
        <v>49</v>
      </c>
      <c r="C20" s="27" t="s">
        <v>50</v>
      </c>
      <c r="D20" s="27"/>
      <c r="E20" s="27"/>
      <c r="F20" s="27"/>
      <c r="G20" s="27"/>
      <c r="H20" s="34"/>
      <c r="I20" s="4"/>
    </row>
    <row r="21" ht="15" spans="1:9">
      <c r="A21" s="5"/>
      <c r="B21" s="61">
        <f>'DATOS LUZ'!C9</f>
        <v>1066</v>
      </c>
      <c r="C21" s="144">
        <f t="array" ref="C21">IFERROR(INDEX('DATOS LUZ'!E28:F28,1,MATCH('DATOS LUZ'!C11,{"SI";"NO"},0)),"")</f>
        <v>0.112</v>
      </c>
      <c r="D21" s="31" t="s">
        <v>29</v>
      </c>
      <c r="E21" s="2" t="s">
        <v>51</v>
      </c>
      <c r="H21" s="32">
        <f>B21*C21</f>
        <v>119.392</v>
      </c>
      <c r="I21" s="4"/>
    </row>
    <row r="22" ht="15" spans="1:9">
      <c r="A22" s="5"/>
      <c r="B22" s="12"/>
      <c r="C22" s="2"/>
      <c r="D22" s="2"/>
      <c r="E22" s="2"/>
      <c r="F22" s="2"/>
      <c r="G22" s="2"/>
      <c r="H22" s="11"/>
      <c r="I22" s="4"/>
    </row>
    <row r="23" ht="19.5" spans="1:9">
      <c r="A23" s="5"/>
      <c r="B23" s="25" t="s">
        <v>52</v>
      </c>
      <c r="E23" s="2"/>
      <c r="F23" s="2"/>
      <c r="G23" s="2"/>
      <c r="H23" s="11"/>
      <c r="I23" s="4"/>
    </row>
    <row r="24" ht="15" spans="1:9">
      <c r="A24" s="5"/>
      <c r="B24" s="62">
        <f>H16+H17+H21</f>
        <v>147.99911</v>
      </c>
      <c r="C24" s="2" t="s">
        <v>53</v>
      </c>
      <c r="H24" s="32">
        <f>B24*0.05</f>
        <v>7.3999555</v>
      </c>
      <c r="I24" s="4"/>
    </row>
    <row r="25" ht="15" spans="1:9">
      <c r="A25" s="5"/>
      <c r="B25" s="12"/>
      <c r="C25" s="2"/>
      <c r="D25" s="2"/>
      <c r="E25" s="2"/>
      <c r="F25" s="2"/>
      <c r="G25" s="2"/>
      <c r="H25" s="11"/>
      <c r="I25" s="4"/>
    </row>
    <row r="26" ht="19.5" spans="1:9">
      <c r="A26" s="5"/>
      <c r="B26" s="25" t="s">
        <v>54</v>
      </c>
      <c r="D26" s="33"/>
      <c r="E26" s="2"/>
      <c r="F26" s="2"/>
      <c r="G26" s="2"/>
      <c r="H26" s="11"/>
      <c r="I26" s="4"/>
    </row>
    <row r="27" ht="15" spans="1:9">
      <c r="A27" s="5"/>
      <c r="B27" s="12"/>
      <c r="C27" s="5" t="s">
        <v>55</v>
      </c>
      <c r="D27" s="2" t="s">
        <v>51</v>
      </c>
      <c r="H27" s="32">
        <v>0.85</v>
      </c>
      <c r="I27" s="4"/>
    </row>
    <row r="28" ht="15" spans="1:9">
      <c r="A28" s="5"/>
      <c r="B28" s="12"/>
      <c r="C28" s="2"/>
      <c r="D28" s="2"/>
      <c r="E28" s="2"/>
      <c r="F28" s="2"/>
      <c r="G28" s="2"/>
      <c r="H28" s="11"/>
      <c r="I28" s="4"/>
    </row>
    <row r="29" ht="15" spans="1:9">
      <c r="A29" s="5"/>
      <c r="B29" s="38" t="s">
        <v>56</v>
      </c>
      <c r="C29" s="63" t="s">
        <v>65</v>
      </c>
      <c r="D29" s="2" t="s">
        <v>51</v>
      </c>
      <c r="H29" s="32">
        <f>IF('DATOS LUZ'!C11="SI",'DATOS LUZ'!H28,0)</f>
        <v>8.48</v>
      </c>
      <c r="I29" s="4"/>
    </row>
    <row r="30" ht="15" spans="1:9">
      <c r="A30" s="5"/>
      <c r="B30" s="12"/>
      <c r="C30" s="2"/>
      <c r="D30" s="2"/>
      <c r="E30" s="2"/>
      <c r="F30" s="2"/>
      <c r="G30" s="2"/>
      <c r="H30" s="11"/>
      <c r="I30" s="4"/>
    </row>
    <row r="31" ht="15" spans="1:9">
      <c r="A31" s="5"/>
      <c r="B31" s="38" t="s">
        <v>58</v>
      </c>
      <c r="C31" s="62">
        <f>B24</f>
        <v>147.99911</v>
      </c>
      <c r="D31" s="2" t="s">
        <v>51</v>
      </c>
      <c r="H31" s="32">
        <f>C31*'DATOS LUZ'!C13</f>
        <v>31.0798131</v>
      </c>
      <c r="I31" s="4"/>
    </row>
    <row r="32" ht="15" spans="1:9">
      <c r="A32" s="5"/>
      <c r="B32" s="12"/>
      <c r="C32" s="2"/>
      <c r="D32" s="2"/>
      <c r="E32" s="2"/>
      <c r="F32" s="2"/>
      <c r="G32" s="2"/>
      <c r="H32" s="11"/>
      <c r="I32" s="4"/>
    </row>
    <row r="33" ht="21" spans="1:9">
      <c r="A33" s="5"/>
      <c r="B33" s="42" t="s">
        <v>59</v>
      </c>
      <c r="C33" s="2" t="s">
        <v>60</v>
      </c>
      <c r="H33" s="45">
        <f>H16+H17+H21+H24+H27+H31+H29</f>
        <v>195.8088786</v>
      </c>
      <c r="I33" s="4"/>
    </row>
    <row r="34" ht="15" spans="1:9">
      <c r="A34" s="5"/>
      <c r="B34" s="12"/>
      <c r="F34" s="2"/>
      <c r="G34" s="2"/>
      <c r="H34" s="11"/>
      <c r="I34" s="4"/>
    </row>
    <row r="35" ht="15" spans="1:9">
      <c r="A35" s="5"/>
      <c r="B35" s="12" t="s">
        <v>61</v>
      </c>
      <c r="H35" s="44">
        <f>'DATOS LUZ'!C15</f>
        <v>169.41</v>
      </c>
      <c r="I35" s="4"/>
    </row>
    <row r="36" ht="15" spans="1:9">
      <c r="A36" s="5"/>
      <c r="B36" s="12"/>
      <c r="C36" s="2"/>
      <c r="D36" s="2"/>
      <c r="E36" s="2"/>
      <c r="F36" s="2"/>
      <c r="G36" s="2"/>
      <c r="H36" s="11"/>
      <c r="I36" s="4"/>
    </row>
    <row r="37" ht="15" spans="1:9">
      <c r="A37" s="5"/>
      <c r="B37" s="12" t="s">
        <v>62</v>
      </c>
      <c r="D37" s="2" t="s">
        <v>51</v>
      </c>
      <c r="H37" s="45">
        <f>H35-H33</f>
        <v>-26.3988786</v>
      </c>
      <c r="I37" s="4"/>
    </row>
    <row r="38" ht="15" spans="1:9">
      <c r="A38" s="5"/>
      <c r="B38" s="12"/>
      <c r="C38" s="2"/>
      <c r="D38" s="2"/>
      <c r="E38" s="2"/>
      <c r="F38" s="2"/>
      <c r="G38" s="2"/>
      <c r="H38" s="11"/>
      <c r="I38" s="4"/>
    </row>
    <row r="39" ht="15" spans="1:9">
      <c r="A39" s="5"/>
      <c r="B39" s="46" t="s">
        <v>63</v>
      </c>
      <c r="C39" s="47"/>
      <c r="D39" s="48" t="s">
        <v>51</v>
      </c>
      <c r="E39" s="47"/>
      <c r="F39" s="47"/>
      <c r="G39" s="47"/>
      <c r="H39" s="152">
        <f>H37*12</f>
        <v>-316.7865432</v>
      </c>
      <c r="I39" s="4"/>
    </row>
    <row r="40" ht="15" spans="1:9">
      <c r="A40" s="5"/>
      <c r="B40" s="2"/>
      <c r="C40" s="2"/>
      <c r="D40" s="2"/>
      <c r="E40" s="2"/>
      <c r="F40" s="2"/>
      <c r="G40" s="2"/>
      <c r="H40" s="3"/>
      <c r="I40" s="4"/>
    </row>
    <row r="41" ht="15" spans="1:9">
      <c r="A41" s="4"/>
      <c r="B41" s="4"/>
      <c r="C41" s="4"/>
      <c r="D41" s="4"/>
      <c r="E41" s="4"/>
      <c r="F41" s="4"/>
      <c r="G41" s="4"/>
      <c r="H41" s="50"/>
      <c r="I41" s="4"/>
    </row>
    <row r="42" ht="15" spans="1:9">
      <c r="A42" s="4"/>
      <c r="B42" s="4"/>
      <c r="C42" s="4"/>
      <c r="D42" s="4"/>
      <c r="E42" s="4"/>
      <c r="F42" s="4"/>
      <c r="G42" s="4"/>
      <c r="H42" s="50"/>
      <c r="I42" s="4"/>
    </row>
    <row r="43" ht="15" spans="1:9">
      <c r="A43" s="4"/>
      <c r="B43" s="4"/>
      <c r="C43" s="4"/>
      <c r="D43" s="4"/>
      <c r="E43" s="4"/>
      <c r="F43" s="4"/>
      <c r="G43" s="4"/>
      <c r="H43" s="50"/>
      <c r="I43" s="4"/>
    </row>
    <row r="44" ht="15" spans="1:9">
      <c r="A44" s="4"/>
      <c r="B44" s="4"/>
      <c r="C44" s="4"/>
      <c r="D44" s="4"/>
      <c r="E44" s="4"/>
      <c r="F44" s="4"/>
      <c r="G44" s="4"/>
      <c r="H44" s="50"/>
      <c r="I44" s="4"/>
    </row>
    <row r="45" ht="15" spans="1:9">
      <c r="A45" s="4"/>
      <c r="B45" s="4"/>
      <c r="C45" s="4"/>
      <c r="D45" s="4"/>
      <c r="E45" s="4"/>
      <c r="F45" s="4"/>
      <c r="G45" s="4"/>
      <c r="H45" s="50"/>
      <c r="I45" s="4"/>
    </row>
  </sheetData>
  <mergeCells count="26">
    <mergeCell ref="B6:C6"/>
    <mergeCell ref="D6:H6"/>
    <mergeCell ref="B8:C8"/>
    <mergeCell ref="D8:H8"/>
    <mergeCell ref="B10:C10"/>
    <mergeCell ref="D10:H10"/>
    <mergeCell ref="B12:C12"/>
    <mergeCell ref="D12:H12"/>
    <mergeCell ref="B14:C14"/>
    <mergeCell ref="F16:G16"/>
    <mergeCell ref="F17:G17"/>
    <mergeCell ref="B19:C19"/>
    <mergeCell ref="E21:G21"/>
    <mergeCell ref="B23:D23"/>
    <mergeCell ref="C24:G24"/>
    <mergeCell ref="B26:C26"/>
    <mergeCell ref="D27:G27"/>
    <mergeCell ref="D29:G29"/>
    <mergeCell ref="D31:G31"/>
    <mergeCell ref="C33:G33"/>
    <mergeCell ref="B34:E34"/>
    <mergeCell ref="B35:G35"/>
    <mergeCell ref="B37:C37"/>
    <mergeCell ref="D37:G37"/>
    <mergeCell ref="B39:C39"/>
    <mergeCell ref="D39:G39"/>
  </mergeCells>
  <printOptions horizontalCentered="1" verticalCentered="1"/>
  <pageMargins left="0.7" right="0.7" top="0.75" bottom="0.75" header="0" footer="0"/>
  <pageSetup paperSize="9" fitToHeight="0" pageOrder="overThenDown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A86E8"/>
    <outlinePr summaryBelow="0" summaryRight="0"/>
    <pageSetUpPr fitToPage="1"/>
  </sheetPr>
  <dimension ref="A1:I45"/>
  <sheetViews>
    <sheetView showGridLines="0" workbookViewId="0">
      <selection activeCell="A1" sqref="A1"/>
    </sheetView>
  </sheetViews>
  <sheetFormatPr defaultColWidth="12.5714285714286" defaultRowHeight="15.75" customHeight="1"/>
  <cols>
    <col min="1" max="1" width="2.71428571428571" customWidth="1"/>
    <col min="4" max="4" width="14" customWidth="1"/>
    <col min="5" max="5" width="3.85714285714286" customWidth="1"/>
    <col min="9" max="9" width="3" customWidth="1"/>
  </cols>
  <sheetData>
    <row r="1" ht="15" spans="1:9">
      <c r="A1" s="1"/>
      <c r="B1" s="2"/>
      <c r="C1" s="2"/>
      <c r="D1" s="2"/>
      <c r="E1" s="2"/>
      <c r="F1" s="2"/>
      <c r="G1" s="2"/>
      <c r="H1" s="3"/>
      <c r="I1" s="4"/>
    </row>
    <row r="2" ht="15" spans="1:9">
      <c r="A2" s="5"/>
      <c r="B2" s="6"/>
      <c r="C2" s="7"/>
      <c r="D2" s="7"/>
      <c r="E2" s="7"/>
      <c r="F2" s="7"/>
      <c r="G2" s="7"/>
      <c r="H2" s="8"/>
      <c r="I2" s="4"/>
    </row>
    <row r="3" ht="15" spans="1:9">
      <c r="A3" s="5"/>
      <c r="B3" s="9"/>
      <c r="C3" s="10"/>
      <c r="D3" s="10"/>
      <c r="E3" s="10"/>
      <c r="F3" s="2"/>
      <c r="G3" s="2"/>
      <c r="H3" s="11"/>
      <c r="I3" s="4"/>
    </row>
    <row r="4" ht="15" spans="1:9">
      <c r="A4" s="5"/>
      <c r="B4" s="12"/>
      <c r="C4" s="2"/>
      <c r="D4" s="13"/>
      <c r="E4" s="2"/>
      <c r="F4" s="2"/>
      <c r="G4" s="2"/>
      <c r="H4" s="11"/>
      <c r="I4" s="4"/>
    </row>
    <row r="5" ht="15" spans="1:9">
      <c r="A5" s="5"/>
      <c r="B5" s="12"/>
      <c r="C5" s="2"/>
      <c r="D5" s="2"/>
      <c r="E5" s="2"/>
      <c r="F5" s="2"/>
      <c r="G5" s="2"/>
      <c r="H5" s="11"/>
      <c r="I5" s="4"/>
    </row>
    <row r="6" ht="15" spans="1:9">
      <c r="A6" s="5"/>
      <c r="B6" s="14" t="s">
        <v>37</v>
      </c>
      <c r="D6" s="51" t="str">
        <f>'DATOS LUZ'!C18</f>
        <v>-</v>
      </c>
      <c r="E6" s="16"/>
      <c r="F6" s="16"/>
      <c r="G6" s="16"/>
      <c r="H6" s="17"/>
      <c r="I6" s="4"/>
    </row>
    <row r="7" ht="8.25" customHeight="1" spans="1:9">
      <c r="A7" s="5"/>
      <c r="B7" s="12"/>
      <c r="C7" s="2"/>
      <c r="D7" s="2"/>
      <c r="E7" s="2"/>
      <c r="F7" s="2"/>
      <c r="G7" s="2"/>
      <c r="H7" s="11"/>
      <c r="I7" s="4"/>
    </row>
    <row r="8" ht="15" spans="1:9">
      <c r="A8" s="5"/>
      <c r="B8" s="14" t="s">
        <v>25</v>
      </c>
      <c r="D8" s="51" t="str">
        <f>'DATOS LUZ'!C20</f>
        <v>-</v>
      </c>
      <c r="E8" s="16"/>
      <c r="F8" s="16"/>
      <c r="G8" s="16"/>
      <c r="H8" s="17"/>
      <c r="I8" s="4"/>
    </row>
    <row r="9" ht="8.25" customHeight="1" spans="1:9">
      <c r="A9" s="5"/>
      <c r="B9" s="12"/>
      <c r="C9" s="2"/>
      <c r="D9" s="2"/>
      <c r="E9" s="2"/>
      <c r="F9" s="2"/>
      <c r="G9" s="2"/>
      <c r="H9" s="11"/>
      <c r="I9" s="4"/>
    </row>
    <row r="10" ht="20.25" customHeight="1" spans="1:9">
      <c r="A10" s="5"/>
      <c r="B10" s="14" t="s">
        <v>38</v>
      </c>
      <c r="D10" s="52" t="s">
        <v>66</v>
      </c>
      <c r="E10" s="16"/>
      <c r="F10" s="16"/>
      <c r="G10" s="16"/>
      <c r="H10" s="17"/>
      <c r="I10" s="4"/>
    </row>
    <row r="11" ht="8.25" customHeight="1" spans="1:9">
      <c r="A11" s="5"/>
      <c r="B11" s="12"/>
      <c r="C11" s="19"/>
      <c r="D11" s="2"/>
      <c r="E11" s="2"/>
      <c r="F11" s="2"/>
      <c r="G11" s="2"/>
      <c r="H11" s="11"/>
      <c r="I11" s="4"/>
    </row>
    <row r="12" ht="15" spans="1:9">
      <c r="A12" s="5"/>
      <c r="B12" s="14" t="s">
        <v>40</v>
      </c>
      <c r="D12" s="51" t="s">
        <v>41</v>
      </c>
      <c r="E12" s="16"/>
      <c r="F12" s="16"/>
      <c r="G12" s="16"/>
      <c r="H12" s="17"/>
      <c r="I12" s="4"/>
    </row>
    <row r="13" ht="19.5" spans="1:9">
      <c r="A13" s="5"/>
      <c r="B13" s="25"/>
      <c r="C13" s="33"/>
      <c r="D13" s="2"/>
      <c r="E13" s="2"/>
      <c r="F13" s="2"/>
      <c r="G13" s="2"/>
      <c r="H13" s="11"/>
      <c r="I13" s="4"/>
    </row>
    <row r="14" ht="19.5" spans="1:9">
      <c r="A14" s="5"/>
      <c r="B14" s="25" t="s">
        <v>42</v>
      </c>
      <c r="D14" s="2"/>
      <c r="E14" s="2"/>
      <c r="F14" s="2"/>
      <c r="G14" s="2"/>
      <c r="H14" s="11"/>
      <c r="I14" s="4"/>
    </row>
    <row r="15" ht="15" spans="1:9">
      <c r="A15" s="5"/>
      <c r="B15" s="26" t="s">
        <v>43</v>
      </c>
      <c r="C15" s="27" t="s">
        <v>44</v>
      </c>
      <c r="D15" s="27" t="s">
        <v>45</v>
      </c>
      <c r="E15" s="27"/>
      <c r="F15" s="27"/>
      <c r="G15" s="27"/>
      <c r="H15" s="28" t="s">
        <v>46</v>
      </c>
      <c r="I15" s="4"/>
    </row>
    <row r="16" ht="15" spans="1:9">
      <c r="A16" s="5"/>
      <c r="B16" s="55">
        <f>'DATOS LUZ'!C7</f>
        <v>5</v>
      </c>
      <c r="C16" s="154">
        <f>'DATOS LUZ'!C5</f>
        <v>31</v>
      </c>
      <c r="D16" s="144">
        <f>'DATOS LUZ'!C31</f>
        <v>0.0913</v>
      </c>
      <c r="E16" s="31" t="s">
        <v>29</v>
      </c>
      <c r="F16" s="2" t="s">
        <v>47</v>
      </c>
      <c r="H16" s="32">
        <f t="shared" ref="H16:H17" si="0">B16*C16*D16</f>
        <v>14.1515</v>
      </c>
      <c r="I16" s="4"/>
    </row>
    <row r="17" ht="15" spans="1:9">
      <c r="A17" s="5"/>
      <c r="B17" s="155">
        <f>'DATOS LUZ'!C7</f>
        <v>5</v>
      </c>
      <c r="C17" s="156">
        <f>'DATOS LUZ'!C5</f>
        <v>31</v>
      </c>
      <c r="D17" s="147">
        <f>'DATOS LUZ'!D31</f>
        <v>0.0913</v>
      </c>
      <c r="E17" s="31" t="s">
        <v>30</v>
      </c>
      <c r="F17" s="2" t="s">
        <v>47</v>
      </c>
      <c r="H17" s="148">
        <f t="shared" si="0"/>
        <v>14.1515</v>
      </c>
      <c r="I17" s="4"/>
    </row>
    <row r="18" ht="15" spans="1:9">
      <c r="A18" s="5"/>
      <c r="B18" s="12"/>
      <c r="C18" s="2"/>
      <c r="D18" s="2"/>
      <c r="E18" s="2"/>
      <c r="F18" s="2"/>
      <c r="G18" s="2"/>
      <c r="H18" s="11"/>
      <c r="I18" s="4"/>
    </row>
    <row r="19" ht="19.5" spans="1:9">
      <c r="A19" s="5"/>
      <c r="B19" s="25" t="s">
        <v>48</v>
      </c>
      <c r="D19" s="33"/>
      <c r="E19" s="33"/>
      <c r="F19" s="2"/>
      <c r="G19" s="2"/>
      <c r="H19" s="11"/>
      <c r="I19" s="4"/>
    </row>
    <row r="20" ht="15" spans="1:9">
      <c r="A20" s="5"/>
      <c r="B20" s="26" t="s">
        <v>49</v>
      </c>
      <c r="C20" s="27" t="s">
        <v>50</v>
      </c>
      <c r="D20" s="27"/>
      <c r="E20" s="27"/>
      <c r="F20" s="27"/>
      <c r="G20" s="27"/>
      <c r="H20" s="34"/>
      <c r="I20" s="4"/>
    </row>
    <row r="21" ht="15" spans="1:9">
      <c r="A21" s="5"/>
      <c r="B21" s="55">
        <f>'DATOS LUZ'!C9</f>
        <v>1066</v>
      </c>
      <c r="C21" s="144">
        <f t="array" ref="C21">IFERROR(INDEX('DATOS LUZ'!E31:F31,1,MATCH('DATOS LUZ'!C11,{"SI";"NO"},0)),"")</f>
        <v>0.123</v>
      </c>
      <c r="D21" s="31" t="s">
        <v>29</v>
      </c>
      <c r="E21" s="2" t="s">
        <v>51</v>
      </c>
      <c r="H21" s="32">
        <f>B21*C21</f>
        <v>131.118</v>
      </c>
      <c r="I21" s="4"/>
    </row>
    <row r="22" ht="15" spans="1:9">
      <c r="A22" s="5"/>
      <c r="B22" s="12"/>
      <c r="C22" s="2"/>
      <c r="D22" s="2"/>
      <c r="E22" s="2"/>
      <c r="F22" s="2"/>
      <c r="G22" s="2"/>
      <c r="H22" s="11"/>
      <c r="I22" s="4"/>
    </row>
    <row r="23" ht="19.5" spans="1:9">
      <c r="A23" s="5"/>
      <c r="B23" s="25" t="s">
        <v>52</v>
      </c>
      <c r="E23" s="2"/>
      <c r="F23" s="2"/>
      <c r="G23" s="2"/>
      <c r="H23" s="11"/>
      <c r="I23" s="4"/>
    </row>
    <row r="24" ht="15" spans="1:9">
      <c r="A24" s="5"/>
      <c r="B24" s="56">
        <f>H16+H17+H21</f>
        <v>159.421</v>
      </c>
      <c r="C24" s="2" t="s">
        <v>53</v>
      </c>
      <c r="H24" s="32">
        <f>B24*0.05</f>
        <v>7.97105</v>
      </c>
      <c r="I24" s="4"/>
    </row>
    <row r="25" ht="15" spans="1:9">
      <c r="A25" s="5"/>
      <c r="B25" s="12"/>
      <c r="C25" s="2"/>
      <c r="D25" s="2"/>
      <c r="E25" s="2"/>
      <c r="F25" s="2"/>
      <c r="G25" s="2"/>
      <c r="H25" s="11"/>
      <c r="I25" s="4"/>
    </row>
    <row r="26" ht="19.5" spans="1:9">
      <c r="A26" s="5"/>
      <c r="B26" s="25" t="s">
        <v>54</v>
      </c>
      <c r="D26" s="33"/>
      <c r="E26" s="2"/>
      <c r="F26" s="2"/>
      <c r="G26" s="2"/>
      <c r="H26" s="11"/>
      <c r="I26" s="4"/>
    </row>
    <row r="27" ht="15" spans="1:9">
      <c r="A27" s="5"/>
      <c r="B27" s="12"/>
      <c r="C27" s="5" t="s">
        <v>55</v>
      </c>
      <c r="D27" s="2" t="s">
        <v>51</v>
      </c>
      <c r="H27" s="32">
        <v>0.85</v>
      </c>
      <c r="I27" s="4"/>
    </row>
    <row r="28" ht="15" spans="1:9">
      <c r="A28" s="5"/>
      <c r="B28" s="12"/>
      <c r="C28" s="2"/>
      <c r="D28" s="2"/>
      <c r="E28" s="2"/>
      <c r="F28" s="2"/>
      <c r="G28" s="2"/>
      <c r="H28" s="11"/>
      <c r="I28" s="4"/>
    </row>
    <row r="29" ht="15" spans="1:9">
      <c r="A29" s="5"/>
      <c r="B29" s="38" t="s">
        <v>56</v>
      </c>
      <c r="C29" s="57" t="s">
        <v>67</v>
      </c>
      <c r="D29" s="2" t="s">
        <v>51</v>
      </c>
      <c r="H29" s="32">
        <f>IF('DATOS LUZ'!C11="SI",'DATOS LUZ'!H30,0)</f>
        <v>4.77</v>
      </c>
      <c r="I29" s="4"/>
    </row>
    <row r="30" ht="15" spans="1:9">
      <c r="A30" s="5"/>
      <c r="B30" s="12"/>
      <c r="C30" s="2"/>
      <c r="D30" s="2"/>
      <c r="E30" s="2"/>
      <c r="F30" s="2"/>
      <c r="G30" s="2"/>
      <c r="H30" s="11"/>
      <c r="I30" s="4"/>
    </row>
    <row r="31" ht="15" spans="1:9">
      <c r="A31" s="5"/>
      <c r="B31" s="38" t="s">
        <v>58</v>
      </c>
      <c r="C31" s="56">
        <f>B24</f>
        <v>159.421</v>
      </c>
      <c r="D31" s="2" t="s">
        <v>51</v>
      </c>
      <c r="H31" s="32">
        <f>C31*'DATOS LUZ'!C13</f>
        <v>33.47841</v>
      </c>
      <c r="I31" s="4"/>
    </row>
    <row r="32" ht="15" spans="1:9">
      <c r="A32" s="5"/>
      <c r="B32" s="12"/>
      <c r="C32" s="2"/>
      <c r="D32" s="2"/>
      <c r="E32" s="2"/>
      <c r="F32" s="2"/>
      <c r="G32" s="2"/>
      <c r="H32" s="11"/>
      <c r="I32" s="4"/>
    </row>
    <row r="33" ht="21" spans="1:9">
      <c r="A33" s="5"/>
      <c r="B33" s="42" t="s">
        <v>59</v>
      </c>
      <c r="C33" s="2" t="s">
        <v>60</v>
      </c>
      <c r="H33" s="45">
        <f>H16+H17+H21+H24+H27+H31+H29</f>
        <v>206.49046</v>
      </c>
      <c r="I33" s="4"/>
    </row>
    <row r="34" ht="15" spans="1:9">
      <c r="A34" s="5"/>
      <c r="B34" s="12"/>
      <c r="F34" s="2"/>
      <c r="G34" s="2"/>
      <c r="H34" s="11"/>
      <c r="I34" s="4"/>
    </row>
    <row r="35" ht="15" spans="1:9">
      <c r="A35" s="5"/>
      <c r="B35" s="12" t="s">
        <v>61</v>
      </c>
      <c r="H35" s="44">
        <f>'DATOS LUZ'!C15</f>
        <v>169.41</v>
      </c>
      <c r="I35" s="4"/>
    </row>
    <row r="36" ht="15" spans="1:9">
      <c r="A36" s="5"/>
      <c r="B36" s="12"/>
      <c r="C36" s="2"/>
      <c r="D36" s="2"/>
      <c r="E36" s="2"/>
      <c r="F36" s="2"/>
      <c r="G36" s="2"/>
      <c r="H36" s="11"/>
      <c r="I36" s="4"/>
    </row>
    <row r="37" ht="15" spans="1:9">
      <c r="A37" s="5"/>
      <c r="B37" s="12" t="s">
        <v>62</v>
      </c>
      <c r="D37" s="2" t="s">
        <v>51</v>
      </c>
      <c r="H37" s="45">
        <f>H35-H33</f>
        <v>-37.08046</v>
      </c>
      <c r="I37" s="4"/>
    </row>
    <row r="38" ht="15" spans="1:9">
      <c r="A38" s="5"/>
      <c r="B38" s="12"/>
      <c r="C38" s="2"/>
      <c r="D38" s="2"/>
      <c r="E38" s="2"/>
      <c r="F38" s="2"/>
      <c r="G38" s="2"/>
      <c r="H38" s="11"/>
      <c r="I38" s="4"/>
    </row>
    <row r="39" ht="15" spans="1:9">
      <c r="A39" s="5"/>
      <c r="B39" s="46" t="s">
        <v>63</v>
      </c>
      <c r="C39" s="47"/>
      <c r="D39" s="48" t="s">
        <v>51</v>
      </c>
      <c r="E39" s="47"/>
      <c r="F39" s="47"/>
      <c r="G39" s="47"/>
      <c r="H39" s="152">
        <f>H37*12</f>
        <v>-444.96552</v>
      </c>
      <c r="I39" s="4"/>
    </row>
    <row r="40" ht="15" spans="1:9">
      <c r="A40" s="5"/>
      <c r="B40" s="2"/>
      <c r="C40" s="2"/>
      <c r="D40" s="2"/>
      <c r="E40" s="2"/>
      <c r="F40" s="2"/>
      <c r="G40" s="2"/>
      <c r="H40" s="3"/>
      <c r="I40" s="4"/>
    </row>
    <row r="41" ht="15" spans="1:9">
      <c r="A41" s="4"/>
      <c r="B41" s="4"/>
      <c r="C41" s="4"/>
      <c r="D41" s="4"/>
      <c r="E41" s="4"/>
      <c r="F41" s="4"/>
      <c r="G41" s="4"/>
      <c r="H41" s="50"/>
      <c r="I41" s="4"/>
    </row>
    <row r="42" ht="15" spans="1:9">
      <c r="A42" s="4"/>
      <c r="B42" s="4"/>
      <c r="C42" s="4"/>
      <c r="D42" s="4"/>
      <c r="E42" s="4"/>
      <c r="F42" s="4"/>
      <c r="G42" s="4"/>
      <c r="H42" s="50"/>
      <c r="I42" s="4"/>
    </row>
    <row r="43" ht="15" spans="1:9">
      <c r="A43" s="4"/>
      <c r="B43" s="4"/>
      <c r="C43" s="4"/>
      <c r="D43" s="4"/>
      <c r="E43" s="4"/>
      <c r="F43" s="4"/>
      <c r="G43" s="4"/>
      <c r="H43" s="50"/>
      <c r="I43" s="4"/>
    </row>
    <row r="44" ht="15" spans="1:9">
      <c r="A44" s="4"/>
      <c r="B44" s="4"/>
      <c r="C44" s="4"/>
      <c r="D44" s="4"/>
      <c r="E44" s="4"/>
      <c r="F44" s="4"/>
      <c r="G44" s="4"/>
      <c r="H44" s="50"/>
      <c r="I44" s="4"/>
    </row>
    <row r="45" ht="15" spans="1:9">
      <c r="A45" s="4"/>
      <c r="B45" s="4"/>
      <c r="C45" s="4"/>
      <c r="D45" s="4"/>
      <c r="E45" s="4"/>
      <c r="F45" s="4"/>
      <c r="G45" s="4"/>
      <c r="H45" s="50"/>
      <c r="I45" s="4"/>
    </row>
  </sheetData>
  <mergeCells count="26">
    <mergeCell ref="B6:C6"/>
    <mergeCell ref="D6:H6"/>
    <mergeCell ref="B8:C8"/>
    <mergeCell ref="D8:H8"/>
    <mergeCell ref="B10:C10"/>
    <mergeCell ref="D10:H10"/>
    <mergeCell ref="B12:C12"/>
    <mergeCell ref="D12:H12"/>
    <mergeCell ref="B14:C14"/>
    <mergeCell ref="F16:G16"/>
    <mergeCell ref="F17:G17"/>
    <mergeCell ref="B19:C19"/>
    <mergeCell ref="E21:G21"/>
    <mergeCell ref="B23:D23"/>
    <mergeCell ref="C24:G24"/>
    <mergeCell ref="B26:C26"/>
    <mergeCell ref="D27:G27"/>
    <mergeCell ref="D29:G29"/>
    <mergeCell ref="D31:G31"/>
    <mergeCell ref="C33:G33"/>
    <mergeCell ref="B34:E34"/>
    <mergeCell ref="B35:G35"/>
    <mergeCell ref="B37:C37"/>
    <mergeCell ref="D37:G37"/>
    <mergeCell ref="B39:C39"/>
    <mergeCell ref="D39:G39"/>
  </mergeCells>
  <printOptions horizontalCentered="1" verticalCentered="1"/>
  <pageMargins left="0.7" right="0.7" top="0.75" bottom="0.75" header="0" footer="0"/>
  <pageSetup paperSize="9" fitToHeight="0" pageOrder="overThenDown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A86E8"/>
    <outlinePr summaryBelow="0" summaryRight="0"/>
    <pageSetUpPr fitToPage="1"/>
  </sheetPr>
  <dimension ref="A1:I45"/>
  <sheetViews>
    <sheetView showGridLines="0" workbookViewId="0">
      <selection activeCell="A1" sqref="A1"/>
    </sheetView>
  </sheetViews>
  <sheetFormatPr defaultColWidth="12.5714285714286" defaultRowHeight="15.75" customHeight="1"/>
  <cols>
    <col min="1" max="1" width="2.71428571428571" customWidth="1"/>
    <col min="4" max="4" width="14" customWidth="1"/>
    <col min="5" max="5" width="3.85714285714286" customWidth="1"/>
    <col min="9" max="9" width="3" customWidth="1"/>
  </cols>
  <sheetData>
    <row r="1" ht="15" spans="1:9">
      <c r="A1" s="1"/>
      <c r="B1" s="2"/>
      <c r="C1" s="2"/>
      <c r="D1" s="2"/>
      <c r="E1" s="2"/>
      <c r="F1" s="2"/>
      <c r="G1" s="2"/>
      <c r="H1" s="3"/>
      <c r="I1" s="4"/>
    </row>
    <row r="2" ht="15" spans="1:9">
      <c r="A2" s="5"/>
      <c r="B2" s="6"/>
      <c r="C2" s="7"/>
      <c r="D2" s="7"/>
      <c r="E2" s="7"/>
      <c r="F2" s="7"/>
      <c r="G2" s="7"/>
      <c r="H2" s="8"/>
      <c r="I2" s="4"/>
    </row>
    <row r="3" ht="15" spans="1:9">
      <c r="A3" s="5"/>
      <c r="B3" s="9"/>
      <c r="C3" s="10"/>
      <c r="D3" s="10"/>
      <c r="E3" s="10"/>
      <c r="F3" s="2"/>
      <c r="G3" s="2"/>
      <c r="H3" s="11"/>
      <c r="I3" s="4"/>
    </row>
    <row r="4" ht="15" spans="1:9">
      <c r="A4" s="5"/>
      <c r="B4" s="12"/>
      <c r="C4" s="2"/>
      <c r="D4" s="13"/>
      <c r="E4" s="2"/>
      <c r="F4" s="2"/>
      <c r="G4" s="2"/>
      <c r="H4" s="11"/>
      <c r="I4" s="4"/>
    </row>
    <row r="5" ht="15" spans="1:9">
      <c r="A5" s="5"/>
      <c r="B5" s="12"/>
      <c r="C5" s="2"/>
      <c r="D5" s="2"/>
      <c r="E5" s="2"/>
      <c r="F5" s="2"/>
      <c r="G5" s="2"/>
      <c r="H5" s="11"/>
      <c r="I5" s="4"/>
    </row>
    <row r="6" ht="15" spans="1:9">
      <c r="A6" s="5"/>
      <c r="B6" s="14" t="s">
        <v>37</v>
      </c>
      <c r="D6" s="51" t="str">
        <f>'DATOS LUZ'!C18</f>
        <v>-</v>
      </c>
      <c r="E6" s="16"/>
      <c r="F6" s="16"/>
      <c r="G6" s="16"/>
      <c r="H6" s="17"/>
      <c r="I6" s="4"/>
    </row>
    <row r="7" ht="8.25" customHeight="1" spans="1:9">
      <c r="A7" s="5"/>
      <c r="B7" s="12"/>
      <c r="C7" s="2"/>
      <c r="D7" s="2"/>
      <c r="E7" s="2"/>
      <c r="F7" s="2"/>
      <c r="G7" s="2"/>
      <c r="H7" s="11"/>
      <c r="I7" s="4"/>
    </row>
    <row r="8" ht="15" spans="1:9">
      <c r="A8" s="5"/>
      <c r="B8" s="14" t="s">
        <v>25</v>
      </c>
      <c r="D8" s="51" t="str">
        <f>'DATOS LUZ'!C20</f>
        <v>-</v>
      </c>
      <c r="E8" s="16"/>
      <c r="F8" s="16"/>
      <c r="G8" s="16"/>
      <c r="H8" s="17"/>
      <c r="I8" s="4"/>
    </row>
    <row r="9" ht="8.25" customHeight="1" spans="1:9">
      <c r="A9" s="5"/>
      <c r="B9" s="12"/>
      <c r="C9" s="2"/>
      <c r="D9" s="2"/>
      <c r="E9" s="2"/>
      <c r="F9" s="2"/>
      <c r="G9" s="2"/>
      <c r="H9" s="11"/>
      <c r="I9" s="4"/>
    </row>
    <row r="10" ht="20.25" customHeight="1" spans="1:9">
      <c r="A10" s="5"/>
      <c r="B10" s="14" t="s">
        <v>38</v>
      </c>
      <c r="D10" s="52" t="s">
        <v>66</v>
      </c>
      <c r="E10" s="16"/>
      <c r="F10" s="16"/>
      <c r="G10" s="16"/>
      <c r="H10" s="17"/>
      <c r="I10" s="4"/>
    </row>
    <row r="11" ht="8.25" customHeight="1" spans="1:9">
      <c r="A11" s="5"/>
      <c r="B11" s="12"/>
      <c r="C11" s="19"/>
      <c r="D11" s="2"/>
      <c r="E11" s="2"/>
      <c r="F11" s="2"/>
      <c r="G11" s="2"/>
      <c r="H11" s="11"/>
      <c r="I11" s="4"/>
    </row>
    <row r="12" ht="15" spans="1:9">
      <c r="A12" s="5"/>
      <c r="B12" s="14" t="s">
        <v>40</v>
      </c>
      <c r="D12" s="51" t="s">
        <v>68</v>
      </c>
      <c r="E12" s="16"/>
      <c r="F12" s="16"/>
      <c r="G12" s="16"/>
      <c r="H12" s="17"/>
      <c r="I12" s="4"/>
    </row>
    <row r="13" ht="19.5" spans="1:9">
      <c r="A13" s="5"/>
      <c r="B13" s="25"/>
      <c r="C13" s="33"/>
      <c r="D13" s="2"/>
      <c r="E13" s="2"/>
      <c r="F13" s="2"/>
      <c r="G13" s="2"/>
      <c r="H13" s="11"/>
      <c r="I13" s="4"/>
    </row>
    <row r="14" ht="19.5" spans="1:9">
      <c r="A14" s="5"/>
      <c r="B14" s="25" t="s">
        <v>42</v>
      </c>
      <c r="D14" s="2"/>
      <c r="E14" s="2"/>
      <c r="F14" s="2"/>
      <c r="G14" s="2"/>
      <c r="H14" s="11"/>
      <c r="I14" s="4"/>
    </row>
    <row r="15" ht="15" spans="1:9">
      <c r="A15" s="5"/>
      <c r="B15" s="26" t="s">
        <v>43</v>
      </c>
      <c r="C15" s="27" t="s">
        <v>44</v>
      </c>
      <c r="D15" s="27" t="s">
        <v>45</v>
      </c>
      <c r="E15" s="27"/>
      <c r="F15" s="27"/>
      <c r="G15" s="27"/>
      <c r="H15" s="28" t="s">
        <v>46</v>
      </c>
      <c r="I15" s="4"/>
    </row>
    <row r="16" ht="15" spans="1:9">
      <c r="A16" s="5"/>
      <c r="B16" s="55">
        <f>'DATOS LUZ'!C7</f>
        <v>5</v>
      </c>
      <c r="C16" s="154">
        <f>'DATOS LUZ'!C5</f>
        <v>31</v>
      </c>
      <c r="D16" s="144">
        <f>'DATOS LUZ'!C30</f>
        <v>0.0913</v>
      </c>
      <c r="E16" s="31" t="s">
        <v>29</v>
      </c>
      <c r="F16" s="2" t="s">
        <v>47</v>
      </c>
      <c r="H16" s="32">
        <f t="shared" ref="H16:H17" si="0">B16*C16*D16</f>
        <v>14.1515</v>
      </c>
      <c r="I16" s="4"/>
    </row>
    <row r="17" ht="15" spans="1:9">
      <c r="A17" s="5"/>
      <c r="B17" s="155">
        <f>'DATOS LUZ'!C7</f>
        <v>5</v>
      </c>
      <c r="C17" s="156">
        <f>'DATOS LUZ'!C5</f>
        <v>31</v>
      </c>
      <c r="D17" s="147">
        <f>'DATOS LUZ'!D30</f>
        <v>0.0913</v>
      </c>
      <c r="E17" s="31" t="s">
        <v>30</v>
      </c>
      <c r="F17" s="2" t="s">
        <v>47</v>
      </c>
      <c r="H17" s="148">
        <f t="shared" si="0"/>
        <v>14.1515</v>
      </c>
      <c r="I17" s="4"/>
    </row>
    <row r="18" ht="15" spans="1:9">
      <c r="A18" s="5"/>
      <c r="B18" s="12"/>
      <c r="C18" s="2"/>
      <c r="D18" s="2"/>
      <c r="E18" s="2"/>
      <c r="F18" s="2"/>
      <c r="G18" s="2"/>
      <c r="H18" s="11"/>
      <c r="I18" s="4"/>
    </row>
    <row r="19" ht="19.5" spans="1:9">
      <c r="A19" s="5"/>
      <c r="B19" s="25" t="s">
        <v>48</v>
      </c>
      <c r="D19" s="33"/>
      <c r="E19" s="33"/>
      <c r="F19" s="2"/>
      <c r="G19" s="2"/>
      <c r="H19" s="11"/>
      <c r="I19" s="4"/>
    </row>
    <row r="20" ht="15" spans="1:9">
      <c r="A20" s="5"/>
      <c r="B20" s="26" t="s">
        <v>49</v>
      </c>
      <c r="C20" s="27" t="s">
        <v>50</v>
      </c>
      <c r="D20" s="27"/>
      <c r="E20" s="27"/>
      <c r="F20" s="27"/>
      <c r="G20" s="27"/>
      <c r="H20" s="34"/>
      <c r="I20" s="4"/>
    </row>
    <row r="21" ht="15" spans="1:9">
      <c r="A21" s="5"/>
      <c r="B21" s="55">
        <f>'DATOS LUZ'!C9</f>
        <v>1066</v>
      </c>
      <c r="C21" s="144">
        <f t="array" ref="C21">IFERROR(INDEX('DATOS LUZ'!E30:F30,1,MATCH('DATOS LUZ'!C11,{"SI";"NO"},0)),"")</f>
        <v>0.123</v>
      </c>
      <c r="D21" s="31" t="s">
        <v>29</v>
      </c>
      <c r="E21" s="2" t="s">
        <v>51</v>
      </c>
      <c r="H21" s="32">
        <f>B21*C21</f>
        <v>131.118</v>
      </c>
      <c r="I21" s="4"/>
    </row>
    <row r="22" ht="15" spans="1:9">
      <c r="A22" s="5"/>
      <c r="B22" s="12"/>
      <c r="C22" s="2"/>
      <c r="D22" s="2"/>
      <c r="E22" s="2"/>
      <c r="F22" s="2"/>
      <c r="G22" s="2"/>
      <c r="H22" s="11"/>
      <c r="I22" s="4"/>
    </row>
    <row r="23" ht="19.5" spans="1:9">
      <c r="A23" s="5"/>
      <c r="B23" s="25" t="s">
        <v>52</v>
      </c>
      <c r="E23" s="2"/>
      <c r="F23" s="2"/>
      <c r="G23" s="2"/>
      <c r="H23" s="11"/>
      <c r="I23" s="4"/>
    </row>
    <row r="24" ht="15" spans="1:9">
      <c r="A24" s="5"/>
      <c r="B24" s="56">
        <f>H16+H17+H21</f>
        <v>159.421</v>
      </c>
      <c r="C24" s="2" t="s">
        <v>53</v>
      </c>
      <c r="H24" s="32">
        <f>B24*0.05</f>
        <v>7.97105</v>
      </c>
      <c r="I24" s="4"/>
    </row>
    <row r="25" ht="15" spans="1:9">
      <c r="A25" s="5"/>
      <c r="B25" s="12"/>
      <c r="C25" s="2"/>
      <c r="D25" s="2"/>
      <c r="E25" s="2"/>
      <c r="F25" s="2"/>
      <c r="G25" s="2"/>
      <c r="H25" s="11"/>
      <c r="I25" s="4"/>
    </row>
    <row r="26" ht="19.5" spans="1:9">
      <c r="A26" s="5"/>
      <c r="B26" s="25" t="s">
        <v>54</v>
      </c>
      <c r="D26" s="33"/>
      <c r="E26" s="2"/>
      <c r="F26" s="2"/>
      <c r="G26" s="2"/>
      <c r="H26" s="11"/>
      <c r="I26" s="4"/>
    </row>
    <row r="27" ht="15" spans="1:9">
      <c r="A27" s="5"/>
      <c r="B27" s="12"/>
      <c r="C27" s="5" t="s">
        <v>55</v>
      </c>
      <c r="D27" s="2" t="s">
        <v>51</v>
      </c>
      <c r="H27" s="32">
        <v>0.85</v>
      </c>
      <c r="I27" s="4"/>
    </row>
    <row r="28" ht="15" spans="1:9">
      <c r="A28" s="5"/>
      <c r="B28" s="12"/>
      <c r="C28" s="2"/>
      <c r="D28" s="2"/>
      <c r="E28" s="2"/>
      <c r="F28" s="2"/>
      <c r="G28" s="2"/>
      <c r="H28" s="11"/>
      <c r="I28" s="4"/>
    </row>
    <row r="29" ht="15" spans="1:9">
      <c r="A29" s="5"/>
      <c r="B29" s="38" t="s">
        <v>56</v>
      </c>
      <c r="C29" s="57" t="s">
        <v>67</v>
      </c>
      <c r="D29" s="2" t="s">
        <v>51</v>
      </c>
      <c r="H29" s="32">
        <f>IF('DATOS LUZ'!C11="SI",'DATOS LUZ'!H30,0)</f>
        <v>4.77</v>
      </c>
      <c r="I29" s="4"/>
    </row>
    <row r="30" ht="15" spans="1:9">
      <c r="A30" s="5"/>
      <c r="B30" s="12"/>
      <c r="C30" s="2"/>
      <c r="D30" s="2"/>
      <c r="E30" s="2"/>
      <c r="F30" s="2"/>
      <c r="G30" s="2"/>
      <c r="H30" s="11"/>
      <c r="I30" s="4"/>
    </row>
    <row r="31" ht="15" spans="1:9">
      <c r="A31" s="5"/>
      <c r="B31" s="38" t="s">
        <v>58</v>
      </c>
      <c r="C31" s="56">
        <f>B24</f>
        <v>159.421</v>
      </c>
      <c r="D31" s="2" t="s">
        <v>51</v>
      </c>
      <c r="H31" s="32">
        <f>C31*'DATOS LUZ'!C13</f>
        <v>33.47841</v>
      </c>
      <c r="I31" s="4"/>
    </row>
    <row r="32" ht="15" spans="1:9">
      <c r="A32" s="5"/>
      <c r="B32" s="12"/>
      <c r="C32" s="2"/>
      <c r="D32" s="2"/>
      <c r="E32" s="2"/>
      <c r="F32" s="2"/>
      <c r="G32" s="2"/>
      <c r="H32" s="11"/>
      <c r="I32" s="4"/>
    </row>
    <row r="33" ht="21" spans="1:9">
      <c r="A33" s="5"/>
      <c r="B33" s="42" t="s">
        <v>59</v>
      </c>
      <c r="C33" s="2" t="s">
        <v>60</v>
      </c>
      <c r="H33" s="45">
        <f>H16+H17+H21+H24+H27+H31+H29</f>
        <v>206.49046</v>
      </c>
      <c r="I33" s="4"/>
    </row>
    <row r="34" ht="15" spans="1:9">
      <c r="A34" s="5"/>
      <c r="B34" s="12"/>
      <c r="F34" s="2"/>
      <c r="G34" s="2"/>
      <c r="H34" s="11"/>
      <c r="I34" s="4"/>
    </row>
    <row r="35" ht="15" spans="1:9">
      <c r="A35" s="5"/>
      <c r="B35" s="12" t="s">
        <v>61</v>
      </c>
      <c r="H35" s="44">
        <f>'DATOS LUZ'!C15</f>
        <v>169.41</v>
      </c>
      <c r="I35" s="4"/>
    </row>
    <row r="36" ht="15" spans="1:9">
      <c r="A36" s="5"/>
      <c r="B36" s="12"/>
      <c r="C36" s="2"/>
      <c r="D36" s="2"/>
      <c r="E36" s="2"/>
      <c r="F36" s="2"/>
      <c r="G36" s="2"/>
      <c r="H36" s="11"/>
      <c r="I36" s="4"/>
    </row>
    <row r="37" ht="15" spans="1:9">
      <c r="A37" s="5"/>
      <c r="B37" s="12" t="s">
        <v>62</v>
      </c>
      <c r="D37" s="2" t="s">
        <v>51</v>
      </c>
      <c r="H37" s="45">
        <f>H35-H33</f>
        <v>-37.08046</v>
      </c>
      <c r="I37" s="4"/>
    </row>
    <row r="38" ht="15" spans="1:9">
      <c r="A38" s="5"/>
      <c r="B38" s="12"/>
      <c r="C38" s="2"/>
      <c r="D38" s="2"/>
      <c r="E38" s="2"/>
      <c r="F38" s="2"/>
      <c r="G38" s="2"/>
      <c r="H38" s="11"/>
      <c r="I38" s="4"/>
    </row>
    <row r="39" ht="15" spans="1:9">
      <c r="A39" s="5"/>
      <c r="B39" s="46" t="s">
        <v>63</v>
      </c>
      <c r="C39" s="47"/>
      <c r="D39" s="48" t="s">
        <v>51</v>
      </c>
      <c r="E39" s="47"/>
      <c r="F39" s="47"/>
      <c r="G39" s="47"/>
      <c r="H39" s="152">
        <f>H37*12</f>
        <v>-444.96552</v>
      </c>
      <c r="I39" s="4"/>
    </row>
    <row r="40" ht="15" spans="1:9">
      <c r="A40" s="5"/>
      <c r="B40" s="2"/>
      <c r="C40" s="2"/>
      <c r="D40" s="2"/>
      <c r="E40" s="2"/>
      <c r="F40" s="2"/>
      <c r="G40" s="2"/>
      <c r="H40" s="3"/>
      <c r="I40" s="4"/>
    </row>
    <row r="41" ht="15" spans="1:9">
      <c r="A41" s="4"/>
      <c r="B41" s="4"/>
      <c r="C41" s="4"/>
      <c r="D41" s="4"/>
      <c r="E41" s="4"/>
      <c r="F41" s="4"/>
      <c r="G41" s="4"/>
      <c r="H41" s="50"/>
      <c r="I41" s="4"/>
    </row>
    <row r="42" ht="15" spans="1:9">
      <c r="A42" s="4"/>
      <c r="B42" s="4"/>
      <c r="C42" s="4"/>
      <c r="D42" s="4"/>
      <c r="E42" s="4"/>
      <c r="F42" s="4"/>
      <c r="G42" s="4"/>
      <c r="H42" s="50"/>
      <c r="I42" s="4"/>
    </row>
    <row r="43" ht="15" spans="1:9">
      <c r="A43" s="4"/>
      <c r="B43" s="4"/>
      <c r="C43" s="4"/>
      <c r="D43" s="4"/>
      <c r="E43" s="4"/>
      <c r="F43" s="4"/>
      <c r="G43" s="4"/>
      <c r="H43" s="50"/>
      <c r="I43" s="4"/>
    </row>
    <row r="44" ht="15" spans="1:9">
      <c r="A44" s="4"/>
      <c r="B44" s="4"/>
      <c r="C44" s="4"/>
      <c r="D44" s="4"/>
      <c r="E44" s="4"/>
      <c r="F44" s="4"/>
      <c r="G44" s="4"/>
      <c r="H44" s="50"/>
      <c r="I44" s="4"/>
    </row>
    <row r="45" ht="15" spans="1:9">
      <c r="A45" s="4"/>
      <c r="B45" s="4"/>
      <c r="C45" s="4"/>
      <c r="D45" s="4"/>
      <c r="E45" s="4"/>
      <c r="F45" s="4"/>
      <c r="G45" s="4"/>
      <c r="H45" s="50"/>
      <c r="I45" s="4"/>
    </row>
  </sheetData>
  <mergeCells count="26">
    <mergeCell ref="B6:C6"/>
    <mergeCell ref="D6:H6"/>
    <mergeCell ref="B8:C8"/>
    <mergeCell ref="D8:H8"/>
    <mergeCell ref="B10:C10"/>
    <mergeCell ref="D10:H10"/>
    <mergeCell ref="B12:C12"/>
    <mergeCell ref="D12:H12"/>
    <mergeCell ref="B14:C14"/>
    <mergeCell ref="F16:G16"/>
    <mergeCell ref="F17:G17"/>
    <mergeCell ref="B19:C19"/>
    <mergeCell ref="E21:G21"/>
    <mergeCell ref="B23:D23"/>
    <mergeCell ref="C24:G24"/>
    <mergeCell ref="B26:C26"/>
    <mergeCell ref="D27:G27"/>
    <mergeCell ref="D29:G29"/>
    <mergeCell ref="D31:G31"/>
    <mergeCell ref="C33:G33"/>
    <mergeCell ref="B34:E34"/>
    <mergeCell ref="B35:G35"/>
    <mergeCell ref="B37:C37"/>
    <mergeCell ref="D37:G37"/>
    <mergeCell ref="B39:C39"/>
    <mergeCell ref="D39:G39"/>
  </mergeCells>
  <printOptions horizontalCentered="1" verticalCentered="1"/>
  <pageMargins left="0.7" right="0.7" top="0.75" bottom="0.75" header="0" footer="0"/>
  <pageSetup paperSize="9" fitToHeight="0" pageOrder="overThenDown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A86E8"/>
    <outlinePr summaryBelow="0" summaryRight="0"/>
  </sheetPr>
  <dimension ref="A1:I47"/>
  <sheetViews>
    <sheetView showGridLines="0" workbookViewId="0">
      <selection activeCell="A1" sqref="A1"/>
    </sheetView>
  </sheetViews>
  <sheetFormatPr defaultColWidth="12.5714285714286" defaultRowHeight="15.75" customHeight="1"/>
  <cols>
    <col min="1" max="1" width="2.57142857142857" customWidth="1"/>
    <col min="4" max="4" width="14.2857142857143" customWidth="1"/>
    <col min="5" max="5" width="4.14285714285714" customWidth="1"/>
    <col min="9" max="9" width="3.14285714285714" customWidth="1"/>
  </cols>
  <sheetData>
    <row r="1" ht="12.75" customHeight="1" spans="1:9">
      <c r="A1" s="1"/>
      <c r="B1" s="2"/>
      <c r="C1" s="2"/>
      <c r="D1" s="2"/>
      <c r="E1" s="2"/>
      <c r="F1" s="2"/>
      <c r="G1" s="2"/>
      <c r="H1" s="3"/>
      <c r="I1" s="4"/>
    </row>
    <row r="2" ht="15" spans="1:9">
      <c r="A2" s="5"/>
      <c r="B2" s="6"/>
      <c r="C2" s="7"/>
      <c r="D2" s="7"/>
      <c r="E2" s="7"/>
      <c r="F2" s="7"/>
      <c r="G2" s="7"/>
      <c r="H2" s="8"/>
      <c r="I2" s="4"/>
    </row>
    <row r="3" ht="15" spans="1:9">
      <c r="A3" s="5"/>
      <c r="B3" s="9"/>
      <c r="C3" s="10"/>
      <c r="D3" s="10"/>
      <c r="E3" s="10"/>
      <c r="F3" s="2"/>
      <c r="G3" s="70"/>
      <c r="H3" s="11"/>
      <c r="I3" s="4"/>
    </row>
    <row r="4" ht="15" spans="1:9">
      <c r="A4" s="5"/>
      <c r="B4" s="12"/>
      <c r="C4" s="2"/>
      <c r="D4" s="13"/>
      <c r="E4" s="2"/>
      <c r="F4" s="2"/>
      <c r="G4" s="2"/>
      <c r="H4" s="11"/>
      <c r="I4" s="4"/>
    </row>
    <row r="5" ht="15" spans="1:9">
      <c r="A5" s="5"/>
      <c r="B5" s="12"/>
      <c r="C5" s="2"/>
      <c r="D5" s="2"/>
      <c r="E5" s="2"/>
      <c r="F5" s="2"/>
      <c r="G5" s="2"/>
      <c r="H5" s="11"/>
      <c r="I5" s="4"/>
    </row>
    <row r="6" ht="15" spans="1:9">
      <c r="A6" s="5"/>
      <c r="B6" s="14" t="s">
        <v>37</v>
      </c>
      <c r="D6" s="153" t="str">
        <f>'DATOS LUZ'!C18</f>
        <v>-</v>
      </c>
      <c r="E6" s="16"/>
      <c r="F6" s="16"/>
      <c r="G6" s="16"/>
      <c r="H6" s="17"/>
      <c r="I6" s="4"/>
    </row>
    <row r="7" ht="7.5" customHeight="1" spans="1:9">
      <c r="A7" s="5"/>
      <c r="B7" s="12"/>
      <c r="C7" s="2"/>
      <c r="D7" s="2"/>
      <c r="E7" s="2"/>
      <c r="F7" s="2"/>
      <c r="G7" s="2"/>
      <c r="H7" s="11"/>
      <c r="I7" s="4"/>
    </row>
    <row r="8" ht="15" spans="1:9">
      <c r="A8" s="5"/>
      <c r="B8" s="14" t="s">
        <v>25</v>
      </c>
      <c r="D8" s="15" t="str">
        <f>'DATOS LUZ'!C20</f>
        <v>-</v>
      </c>
      <c r="E8" s="16"/>
      <c r="F8" s="16"/>
      <c r="G8" s="16"/>
      <c r="H8" s="17"/>
      <c r="I8" s="4"/>
    </row>
    <row r="9" ht="7.5" customHeight="1" spans="1:9">
      <c r="A9" s="5"/>
      <c r="B9" s="12"/>
      <c r="C9" s="2"/>
      <c r="D9" s="2"/>
      <c r="E9" s="2"/>
      <c r="F9" s="2"/>
      <c r="G9" s="2"/>
      <c r="H9" s="11"/>
      <c r="I9" s="4"/>
    </row>
    <row r="10" ht="20.25" customHeight="1" spans="1:9">
      <c r="A10" s="5"/>
      <c r="B10" s="14" t="s">
        <v>38</v>
      </c>
      <c r="D10" s="18" t="s">
        <v>69</v>
      </c>
      <c r="E10" s="16"/>
      <c r="F10" s="16"/>
      <c r="G10" s="16"/>
      <c r="H10" s="17"/>
      <c r="I10" s="4"/>
    </row>
    <row r="11" ht="7.5" customHeight="1" spans="1:9">
      <c r="A11" s="5"/>
      <c r="B11" s="12"/>
      <c r="C11" s="19"/>
      <c r="D11" s="2"/>
      <c r="E11" s="2"/>
      <c r="F11" s="2"/>
      <c r="G11" s="2"/>
      <c r="H11" s="11"/>
      <c r="I11" s="4"/>
    </row>
    <row r="12" ht="15" spans="1:9">
      <c r="A12" s="5"/>
      <c r="B12" s="14" t="s">
        <v>40</v>
      </c>
      <c r="D12" s="15" t="s">
        <v>41</v>
      </c>
      <c r="E12" s="16"/>
      <c r="F12" s="16"/>
      <c r="G12" s="16"/>
      <c r="H12" s="17"/>
      <c r="I12" s="4"/>
    </row>
    <row r="13" ht="15" spans="1:9">
      <c r="A13" s="20"/>
      <c r="B13" s="21"/>
      <c r="C13" s="22"/>
      <c r="D13" s="23"/>
      <c r="E13" s="23"/>
      <c r="F13" s="23"/>
      <c r="G13" s="23"/>
      <c r="H13" s="24"/>
      <c r="I13" s="4"/>
    </row>
    <row r="14" ht="19.5" spans="1:9">
      <c r="A14" s="5"/>
      <c r="B14" s="25" t="s">
        <v>42</v>
      </c>
      <c r="D14" s="2"/>
      <c r="E14" s="2"/>
      <c r="F14" s="2"/>
      <c r="G14" s="2"/>
      <c r="H14" s="11"/>
      <c r="I14" s="4"/>
    </row>
    <row r="15" ht="15" spans="1:9">
      <c r="A15" s="5"/>
      <c r="B15" s="26" t="s">
        <v>43</v>
      </c>
      <c r="C15" s="27" t="s">
        <v>44</v>
      </c>
      <c r="D15" s="27" t="s">
        <v>45</v>
      </c>
      <c r="E15" s="27"/>
      <c r="F15" s="27"/>
      <c r="G15" s="27"/>
      <c r="H15" s="28" t="s">
        <v>46</v>
      </c>
      <c r="I15" s="4"/>
    </row>
    <row r="16" ht="15" spans="1:9">
      <c r="A16" s="5"/>
      <c r="B16" s="35">
        <f>'DATOS LUZ'!C7</f>
        <v>5</v>
      </c>
      <c r="C16" s="143">
        <f>'DATOS LUZ'!C5</f>
        <v>31</v>
      </c>
      <c r="D16" s="144">
        <f>'DATOS LUZ'!C33</f>
        <v>0.089434</v>
      </c>
      <c r="E16" s="31" t="s">
        <v>29</v>
      </c>
      <c r="F16" s="2" t="s">
        <v>47</v>
      </c>
      <c r="H16" s="32">
        <f t="shared" ref="H16:H17" si="0">B16*C16*D16</f>
        <v>13.86227</v>
      </c>
      <c r="I16" s="4"/>
    </row>
    <row r="17" ht="15" spans="1:9">
      <c r="A17" s="5"/>
      <c r="B17" s="145">
        <f>'DATOS LUZ'!C7</f>
        <v>5</v>
      </c>
      <c r="C17" s="146">
        <f>'DATOS LUZ'!C5</f>
        <v>31</v>
      </c>
      <c r="D17" s="147">
        <f>'DATOS LUZ'!D33</f>
        <v>0.089434</v>
      </c>
      <c r="E17" s="31" t="s">
        <v>30</v>
      </c>
      <c r="F17" s="2" t="s">
        <v>47</v>
      </c>
      <c r="H17" s="148">
        <f t="shared" si="0"/>
        <v>13.86227</v>
      </c>
      <c r="I17" s="4"/>
    </row>
    <row r="18" ht="15" spans="1:9">
      <c r="A18" s="5"/>
      <c r="B18" s="12"/>
      <c r="C18" s="2"/>
      <c r="D18" s="2"/>
      <c r="E18" s="2"/>
      <c r="F18" s="2"/>
      <c r="G18" s="2"/>
      <c r="H18" s="11"/>
      <c r="I18" s="4"/>
    </row>
    <row r="19" ht="19.5" spans="1:9">
      <c r="A19" s="5"/>
      <c r="B19" s="25" t="s">
        <v>48</v>
      </c>
      <c r="D19" s="33"/>
      <c r="E19" s="33"/>
      <c r="F19" s="2"/>
      <c r="G19" s="2"/>
      <c r="H19" s="11"/>
      <c r="I19" s="4"/>
    </row>
    <row r="20" ht="15" spans="1:9">
      <c r="A20" s="5"/>
      <c r="B20" s="26" t="s">
        <v>49</v>
      </c>
      <c r="C20" s="27" t="s">
        <v>50</v>
      </c>
      <c r="D20" s="27"/>
      <c r="E20" s="27"/>
      <c r="F20" s="27"/>
      <c r="G20" s="27"/>
      <c r="H20" s="34"/>
      <c r="I20" s="4"/>
    </row>
    <row r="21" ht="15" spans="1:9">
      <c r="A21" s="5"/>
      <c r="B21" s="35">
        <f>'DATOS LUZ'!C9</f>
        <v>1066</v>
      </c>
      <c r="C21" s="144">
        <f>'DATOS LUZ'!E33</f>
        <v>0.119</v>
      </c>
      <c r="D21" s="31" t="s">
        <v>29</v>
      </c>
      <c r="E21" s="2" t="s">
        <v>51</v>
      </c>
      <c r="H21" s="32">
        <f>B21*C21</f>
        <v>126.854</v>
      </c>
      <c r="I21" s="4"/>
    </row>
    <row r="22" ht="15" spans="1:9">
      <c r="A22" s="5"/>
      <c r="B22" s="12"/>
      <c r="C22" s="2"/>
      <c r="D22" s="2"/>
      <c r="E22" s="2"/>
      <c r="F22" s="2"/>
      <c r="G22" s="2"/>
      <c r="H22" s="11"/>
      <c r="I22" s="4"/>
    </row>
    <row r="23" ht="19.5" spans="1:9">
      <c r="A23" s="5"/>
      <c r="B23" s="25" t="s">
        <v>52</v>
      </c>
      <c r="E23" s="2"/>
      <c r="F23" s="2"/>
      <c r="G23" s="2"/>
      <c r="H23" s="11"/>
      <c r="I23" s="4"/>
    </row>
    <row r="24" ht="15" spans="1:9">
      <c r="A24" s="5"/>
      <c r="B24" s="37">
        <f>H16+H17+H21</f>
        <v>154.57854</v>
      </c>
      <c r="C24" s="2" t="s">
        <v>53</v>
      </c>
      <c r="H24" s="32">
        <f>B24*0.05</f>
        <v>7.728927</v>
      </c>
      <c r="I24" s="4"/>
    </row>
    <row r="25" ht="15" spans="1:9">
      <c r="A25" s="5"/>
      <c r="B25" s="12"/>
      <c r="C25" s="2"/>
      <c r="D25" s="2"/>
      <c r="E25" s="2"/>
      <c r="F25" s="2"/>
      <c r="G25" s="2"/>
      <c r="H25" s="11"/>
      <c r="I25" s="4"/>
    </row>
    <row r="26" ht="19.5" spans="1:9">
      <c r="A26" s="5"/>
      <c r="B26" s="25" t="s">
        <v>54</v>
      </c>
      <c r="D26" s="33"/>
      <c r="E26" s="2"/>
      <c r="F26" s="2"/>
      <c r="G26" s="2"/>
      <c r="H26" s="11"/>
      <c r="I26" s="4"/>
    </row>
    <row r="27" ht="15" spans="1:9">
      <c r="A27" s="5"/>
      <c r="B27" s="12"/>
      <c r="C27" s="5" t="s">
        <v>55</v>
      </c>
      <c r="D27" s="2" t="s">
        <v>51</v>
      </c>
      <c r="H27" s="32">
        <v>0.85</v>
      </c>
      <c r="I27" s="4"/>
    </row>
    <row r="28" ht="15" spans="1:9">
      <c r="A28" s="5"/>
      <c r="B28" s="12"/>
      <c r="C28" s="2"/>
      <c r="D28" s="2"/>
      <c r="E28" s="2"/>
      <c r="F28" s="2"/>
      <c r="G28" s="2"/>
      <c r="H28" s="11"/>
      <c r="I28" s="4"/>
    </row>
    <row r="29" ht="15" spans="1:9">
      <c r="A29" s="5"/>
      <c r="B29" s="38" t="s">
        <v>56</v>
      </c>
      <c r="C29" s="39" t="s">
        <v>70</v>
      </c>
      <c r="D29" s="2" t="s">
        <v>51</v>
      </c>
      <c r="H29" s="32">
        <f>IF('DATOS LUZ'!C11="SI",'DATOS LUZ'!H33,0)</f>
        <v>5.18</v>
      </c>
      <c r="I29" s="4"/>
    </row>
    <row r="30" ht="15" spans="1:9">
      <c r="A30" s="5"/>
      <c r="B30" s="12"/>
      <c r="C30" s="2"/>
      <c r="D30" s="2"/>
      <c r="E30" s="2"/>
      <c r="F30" s="2"/>
      <c r="G30" s="2"/>
      <c r="H30" s="11"/>
      <c r="I30" s="4"/>
    </row>
    <row r="31" ht="15" spans="1:9">
      <c r="A31" s="5"/>
      <c r="B31" s="38" t="s">
        <v>58</v>
      </c>
      <c r="C31" s="37">
        <f>B24</f>
        <v>154.57854</v>
      </c>
      <c r="D31" s="2" t="s">
        <v>51</v>
      </c>
      <c r="H31" s="32">
        <f>C31*'DATOS LUZ'!C13</f>
        <v>32.4614934</v>
      </c>
      <c r="I31" s="4"/>
    </row>
    <row r="32" ht="15" spans="1:9">
      <c r="A32" s="5"/>
      <c r="B32" s="12"/>
      <c r="C32" s="2"/>
      <c r="D32" s="2"/>
      <c r="E32" s="2"/>
      <c r="F32" s="2"/>
      <c r="G32" s="2"/>
      <c r="H32" s="11"/>
      <c r="I32" s="4"/>
    </row>
    <row r="33" ht="27" customHeight="1" spans="1:9">
      <c r="A33" s="5"/>
      <c r="B33" s="42" t="s">
        <v>59</v>
      </c>
      <c r="C33" s="2" t="s">
        <v>60</v>
      </c>
      <c r="H33" s="43">
        <f>H16+H17+H21+H24+H27+H31+H29</f>
        <v>200.7989604</v>
      </c>
      <c r="I33" s="4"/>
    </row>
    <row r="34" ht="15" spans="1:9">
      <c r="A34" s="5"/>
      <c r="B34" s="12"/>
      <c r="F34" s="2"/>
      <c r="G34" s="2"/>
      <c r="H34" s="11"/>
      <c r="I34" s="4"/>
    </row>
    <row r="35" ht="15" spans="1:9">
      <c r="A35" s="5"/>
      <c r="B35" s="12" t="s">
        <v>61</v>
      </c>
      <c r="H35" s="44">
        <f>'DATOS LUZ'!C15</f>
        <v>169.41</v>
      </c>
      <c r="I35" s="4"/>
    </row>
    <row r="36" ht="15" spans="1:9">
      <c r="A36" s="5"/>
      <c r="B36" s="12"/>
      <c r="C36" s="2"/>
      <c r="D36" s="2"/>
      <c r="E36" s="2"/>
      <c r="F36" s="2"/>
      <c r="G36" s="2"/>
      <c r="H36" s="11"/>
      <c r="I36" s="4"/>
    </row>
    <row r="37" ht="15" spans="1:9">
      <c r="A37" s="5"/>
      <c r="B37" s="12" t="s">
        <v>62</v>
      </c>
      <c r="D37" s="2" t="s">
        <v>51</v>
      </c>
      <c r="H37" s="45">
        <f>H35-H33</f>
        <v>-31.3889604</v>
      </c>
      <c r="I37" s="4"/>
    </row>
    <row r="38" ht="15" spans="1:9">
      <c r="A38" s="5"/>
      <c r="B38" s="12"/>
      <c r="C38" s="2"/>
      <c r="D38" s="2"/>
      <c r="E38" s="2"/>
      <c r="F38" s="2"/>
      <c r="G38" s="2"/>
      <c r="H38" s="11"/>
      <c r="I38" s="4"/>
    </row>
    <row r="39" ht="15" spans="1:9">
      <c r="A39" s="5"/>
      <c r="B39" s="46" t="s">
        <v>63</v>
      </c>
      <c r="C39" s="47"/>
      <c r="D39" s="48" t="s">
        <v>51</v>
      </c>
      <c r="E39" s="47"/>
      <c r="F39" s="47"/>
      <c r="G39" s="47"/>
      <c r="H39" s="152">
        <f>H37*12</f>
        <v>-376.6675248</v>
      </c>
      <c r="I39" s="4"/>
    </row>
    <row r="40" ht="15" spans="1:9">
      <c r="A40" s="5"/>
      <c r="B40" s="2"/>
      <c r="C40" s="2"/>
      <c r="D40" s="2"/>
      <c r="E40" s="2"/>
      <c r="F40" s="2"/>
      <c r="G40" s="2"/>
      <c r="H40" s="3"/>
      <c r="I40" s="4"/>
    </row>
    <row r="41" ht="15" spans="1:9">
      <c r="A41" s="4"/>
      <c r="B41" s="4"/>
      <c r="C41" s="4"/>
      <c r="D41" s="4"/>
      <c r="E41" s="4"/>
      <c r="F41" s="4"/>
      <c r="G41" s="4"/>
      <c r="H41" s="50"/>
      <c r="I41" s="4"/>
    </row>
    <row r="42" ht="15" spans="1:9">
      <c r="A42" s="4"/>
      <c r="B42" s="4"/>
      <c r="C42" s="4"/>
      <c r="D42" s="4"/>
      <c r="E42" s="4"/>
      <c r="F42" s="4"/>
      <c r="G42" s="4"/>
      <c r="H42" s="50"/>
      <c r="I42" s="4"/>
    </row>
    <row r="43" ht="15" spans="1:9">
      <c r="A43" s="4"/>
      <c r="B43" s="4"/>
      <c r="C43" s="4"/>
      <c r="D43" s="4"/>
      <c r="E43" s="4"/>
      <c r="F43" s="4"/>
      <c r="G43" s="4"/>
      <c r="H43" s="50"/>
      <c r="I43" s="4"/>
    </row>
    <row r="44" ht="15" spans="1:9">
      <c r="A44" s="4"/>
      <c r="B44" s="4"/>
      <c r="C44" s="4"/>
      <c r="D44" s="4"/>
      <c r="E44" s="4"/>
      <c r="F44" s="4"/>
      <c r="G44" s="4"/>
      <c r="H44" s="50"/>
      <c r="I44" s="4"/>
    </row>
    <row r="45" ht="15" spans="1:9">
      <c r="A45" s="4"/>
      <c r="B45" s="4"/>
      <c r="C45" s="4"/>
      <c r="D45" s="4"/>
      <c r="E45" s="4"/>
      <c r="F45" s="4"/>
      <c r="G45" s="4"/>
      <c r="H45" s="50"/>
      <c r="I45" s="4"/>
    </row>
    <row r="46" ht="15" spans="1:9">
      <c r="A46" s="4"/>
      <c r="B46" s="4"/>
      <c r="C46" s="4"/>
      <c r="D46" s="4"/>
      <c r="E46" s="4"/>
      <c r="F46" s="4"/>
      <c r="G46" s="4"/>
      <c r="H46" s="50"/>
      <c r="I46" s="4"/>
    </row>
    <row r="47" ht="15" spans="1:9">
      <c r="A47" s="4"/>
      <c r="B47" s="4"/>
      <c r="C47" s="4"/>
      <c r="D47" s="4"/>
      <c r="E47" s="4"/>
      <c r="F47" s="4"/>
      <c r="G47" s="4"/>
      <c r="H47" s="50"/>
      <c r="I47" s="4"/>
    </row>
  </sheetData>
  <mergeCells count="26">
    <mergeCell ref="B6:C6"/>
    <mergeCell ref="D6:H6"/>
    <mergeCell ref="B8:C8"/>
    <mergeCell ref="D8:H8"/>
    <mergeCell ref="B10:C10"/>
    <mergeCell ref="D10:H10"/>
    <mergeCell ref="B12:C12"/>
    <mergeCell ref="D12:H12"/>
    <mergeCell ref="B14:C14"/>
    <mergeCell ref="F16:G16"/>
    <mergeCell ref="F17:G17"/>
    <mergeCell ref="B19:C19"/>
    <mergeCell ref="E21:G21"/>
    <mergeCell ref="B23:D23"/>
    <mergeCell ref="C24:G24"/>
    <mergeCell ref="B26:C26"/>
    <mergeCell ref="D27:G27"/>
    <mergeCell ref="D29:G29"/>
    <mergeCell ref="D31:G31"/>
    <mergeCell ref="C33:G33"/>
    <mergeCell ref="B34:E34"/>
    <mergeCell ref="B35:G35"/>
    <mergeCell ref="B37:C37"/>
    <mergeCell ref="D37:G37"/>
    <mergeCell ref="B39:C39"/>
    <mergeCell ref="D39:G39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A86E8"/>
    <outlinePr summaryBelow="0" summaryRight="0"/>
    <pageSetUpPr fitToPage="1"/>
  </sheetPr>
  <dimension ref="A1:I47"/>
  <sheetViews>
    <sheetView showGridLines="0" workbookViewId="0">
      <selection activeCell="A1" sqref="A1"/>
    </sheetView>
  </sheetViews>
  <sheetFormatPr defaultColWidth="12.5714285714286" defaultRowHeight="15.75" customHeight="1"/>
  <cols>
    <col min="1" max="1" width="2.57142857142857" customWidth="1"/>
    <col min="4" max="4" width="14.2857142857143" customWidth="1"/>
    <col min="5" max="5" width="4.14285714285714" customWidth="1"/>
    <col min="9" max="9" width="3.14285714285714" customWidth="1"/>
  </cols>
  <sheetData>
    <row r="1" ht="12.75" customHeight="1" spans="1:9">
      <c r="A1" s="1"/>
      <c r="B1" s="2"/>
      <c r="C1" s="2"/>
      <c r="D1" s="2"/>
      <c r="E1" s="2"/>
      <c r="F1" s="2"/>
      <c r="G1" s="2"/>
      <c r="H1" s="3"/>
      <c r="I1" s="4"/>
    </row>
    <row r="2" ht="15" spans="1:9">
      <c r="A2" s="5"/>
      <c r="B2" s="6"/>
      <c r="C2" s="7"/>
      <c r="D2" s="7"/>
      <c r="E2" s="7"/>
      <c r="F2" s="7"/>
      <c r="G2" s="7"/>
      <c r="H2" s="8"/>
      <c r="I2" s="4"/>
    </row>
    <row r="3" ht="15" spans="1:9">
      <c r="A3" s="5"/>
      <c r="B3" s="9"/>
      <c r="C3" s="10"/>
      <c r="D3" s="10"/>
      <c r="E3" s="10"/>
      <c r="F3" s="2"/>
      <c r="G3" s="2"/>
      <c r="H3" s="11"/>
      <c r="I3" s="4"/>
    </row>
    <row r="4" ht="15" spans="1:9">
      <c r="A4" s="5"/>
      <c r="B4" s="12"/>
      <c r="C4" s="2"/>
      <c r="D4" s="13"/>
      <c r="E4" s="2"/>
      <c r="F4" s="2"/>
      <c r="G4" s="2"/>
      <c r="H4" s="11"/>
      <c r="I4" s="4"/>
    </row>
    <row r="5" ht="15" spans="1:9">
      <c r="A5" s="5"/>
      <c r="B5" s="12"/>
      <c r="C5" s="2"/>
      <c r="D5" s="2"/>
      <c r="E5" s="2"/>
      <c r="F5" s="2"/>
      <c r="G5" s="2"/>
      <c r="H5" s="11"/>
      <c r="I5" s="4"/>
    </row>
    <row r="6" ht="15" spans="1:9">
      <c r="A6" s="5"/>
      <c r="B6" s="14" t="s">
        <v>37</v>
      </c>
      <c r="D6" s="15" t="str">
        <f>'DATOS LUZ'!C18</f>
        <v>-</v>
      </c>
      <c r="E6" s="16"/>
      <c r="F6" s="16"/>
      <c r="G6" s="16"/>
      <c r="H6" s="17"/>
      <c r="I6" s="4"/>
    </row>
    <row r="7" ht="7.5" customHeight="1" spans="1:9">
      <c r="A7" s="5"/>
      <c r="B7" s="12"/>
      <c r="C7" s="2"/>
      <c r="D7" s="2"/>
      <c r="E7" s="2"/>
      <c r="F7" s="2"/>
      <c r="G7" s="2"/>
      <c r="H7" s="11"/>
      <c r="I7" s="4"/>
    </row>
    <row r="8" ht="15" spans="1:9">
      <c r="A8" s="5"/>
      <c r="B8" s="14" t="s">
        <v>25</v>
      </c>
      <c r="D8" s="15" t="str">
        <f>'DATOS LUZ'!C20</f>
        <v>-</v>
      </c>
      <c r="E8" s="16"/>
      <c r="F8" s="16"/>
      <c r="G8" s="16"/>
      <c r="H8" s="17"/>
      <c r="I8" s="4"/>
    </row>
    <row r="9" ht="7.5" customHeight="1" spans="1:9">
      <c r="A9" s="5"/>
      <c r="B9" s="12"/>
      <c r="C9" s="2"/>
      <c r="D9" s="2"/>
      <c r="E9" s="2"/>
      <c r="F9" s="2"/>
      <c r="G9" s="2"/>
      <c r="H9" s="11"/>
      <c r="I9" s="4"/>
    </row>
    <row r="10" ht="20.25" customHeight="1" spans="1:9">
      <c r="A10" s="5"/>
      <c r="B10" s="14" t="s">
        <v>38</v>
      </c>
      <c r="D10" s="18" t="s">
        <v>71</v>
      </c>
      <c r="E10" s="16"/>
      <c r="F10" s="16"/>
      <c r="G10" s="16"/>
      <c r="H10" s="17"/>
      <c r="I10" s="4"/>
    </row>
    <row r="11" ht="7.5" customHeight="1" spans="1:9">
      <c r="A11" s="5"/>
      <c r="B11" s="12"/>
      <c r="C11" s="19"/>
      <c r="D11" s="2"/>
      <c r="E11" s="2"/>
      <c r="F11" s="2"/>
      <c r="G11" s="2"/>
      <c r="H11" s="11"/>
      <c r="I11" s="4"/>
    </row>
    <row r="12" ht="15" spans="1:9">
      <c r="A12" s="5"/>
      <c r="B12" s="14" t="s">
        <v>40</v>
      </c>
      <c r="D12" s="15" t="s">
        <v>41</v>
      </c>
      <c r="E12" s="16"/>
      <c r="F12" s="16"/>
      <c r="G12" s="16"/>
      <c r="H12" s="17"/>
      <c r="I12" s="4"/>
    </row>
    <row r="13" ht="15" spans="1:9">
      <c r="A13" s="20"/>
      <c r="B13" s="21"/>
      <c r="C13" s="22"/>
      <c r="D13" s="23"/>
      <c r="E13" s="23"/>
      <c r="F13" s="23"/>
      <c r="G13" s="23"/>
      <c r="H13" s="24"/>
      <c r="I13" s="4"/>
    </row>
    <row r="14" ht="19.5" spans="1:9">
      <c r="A14" s="5"/>
      <c r="B14" s="25" t="s">
        <v>42</v>
      </c>
      <c r="D14" s="2"/>
      <c r="E14" s="2"/>
      <c r="F14" s="2"/>
      <c r="G14" s="2"/>
      <c r="H14" s="11"/>
      <c r="I14" s="4"/>
    </row>
    <row r="15" ht="15" spans="1:9">
      <c r="A15" s="5"/>
      <c r="B15" s="26" t="s">
        <v>43</v>
      </c>
      <c r="C15" s="27" t="s">
        <v>44</v>
      </c>
      <c r="D15" s="27" t="s">
        <v>45</v>
      </c>
      <c r="E15" s="27"/>
      <c r="F15" s="27"/>
      <c r="G15" s="27"/>
      <c r="H15" s="28" t="s">
        <v>46</v>
      </c>
      <c r="I15" s="4"/>
    </row>
    <row r="16" ht="15" spans="1:9">
      <c r="A16" s="5"/>
      <c r="B16" s="35">
        <f>'DATOS LUZ'!C7</f>
        <v>5</v>
      </c>
      <c r="C16" s="143">
        <f>'DATOS LUZ'!C5</f>
        <v>31</v>
      </c>
      <c r="D16" s="144">
        <f>'DATOS LUZ'!C34</f>
        <v>0.075903</v>
      </c>
      <c r="E16" s="31" t="s">
        <v>29</v>
      </c>
      <c r="F16" s="2" t="s">
        <v>47</v>
      </c>
      <c r="H16" s="32">
        <f t="shared" ref="H16:H17" si="0">B16*C16*D16</f>
        <v>11.764965</v>
      </c>
      <c r="I16" s="4"/>
    </row>
    <row r="17" ht="15" spans="1:9">
      <c r="A17" s="5"/>
      <c r="B17" s="145">
        <f>'DATOS LUZ'!C7</f>
        <v>5</v>
      </c>
      <c r="C17" s="146">
        <f>'DATOS LUZ'!C5</f>
        <v>31</v>
      </c>
      <c r="D17" s="147">
        <f>'DATOS LUZ'!D34</f>
        <v>0.001988</v>
      </c>
      <c r="E17" s="31" t="s">
        <v>30</v>
      </c>
      <c r="F17" s="2" t="s">
        <v>47</v>
      </c>
      <c r="H17" s="148">
        <f t="shared" si="0"/>
        <v>0.30814</v>
      </c>
      <c r="I17" s="4"/>
    </row>
    <row r="18" ht="15" spans="1:9">
      <c r="A18" s="5"/>
      <c r="B18" s="12"/>
      <c r="C18" s="2"/>
      <c r="D18" s="2"/>
      <c r="E18" s="2"/>
      <c r="F18" s="2"/>
      <c r="G18" s="2"/>
      <c r="H18" s="11"/>
      <c r="I18" s="4"/>
    </row>
    <row r="19" ht="19.5" spans="1:9">
      <c r="A19" s="5"/>
      <c r="B19" s="25" t="s">
        <v>48</v>
      </c>
      <c r="D19" s="33"/>
      <c r="E19" s="33"/>
      <c r="F19" s="2"/>
      <c r="G19" s="2"/>
      <c r="H19" s="11"/>
      <c r="I19" s="4"/>
    </row>
    <row r="20" ht="15" spans="1:9">
      <c r="A20" s="5"/>
      <c r="B20" s="26" t="s">
        <v>49</v>
      </c>
      <c r="C20" s="27" t="s">
        <v>50</v>
      </c>
      <c r="D20" s="27"/>
      <c r="E20" s="27"/>
      <c r="F20" s="27"/>
      <c r="G20" s="27"/>
      <c r="H20" s="34"/>
      <c r="I20" s="4"/>
    </row>
    <row r="21" ht="15" spans="1:9">
      <c r="A21" s="5"/>
      <c r="B21" s="149">
        <f>'DATOS LUZ'!C9*23%</f>
        <v>245.18</v>
      </c>
      <c r="C21" s="144">
        <f>'DATOS LUZ'!G34</f>
        <v>0.191</v>
      </c>
      <c r="D21" s="31" t="s">
        <v>29</v>
      </c>
      <c r="E21" s="2" t="s">
        <v>51</v>
      </c>
      <c r="H21" s="32">
        <f t="shared" ref="H21:H23" si="1">B21*C21</f>
        <v>46.82938</v>
      </c>
      <c r="I21" s="4"/>
    </row>
    <row r="22" ht="15" spans="1:9">
      <c r="A22" s="5"/>
      <c r="B22" s="149">
        <f>'DATOS LUZ'!C9*24%</f>
        <v>255.84</v>
      </c>
      <c r="C22" s="144">
        <f>'DATOS LUZ'!F34</f>
        <v>0.125</v>
      </c>
      <c r="D22" s="31" t="s">
        <v>30</v>
      </c>
      <c r="E22" s="2" t="s">
        <v>51</v>
      </c>
      <c r="H22" s="32">
        <f t="shared" si="1"/>
        <v>31.98</v>
      </c>
      <c r="I22" s="4"/>
    </row>
    <row r="23" ht="15" spans="1:9">
      <c r="A23" s="5"/>
      <c r="B23" s="149">
        <f>'DATOS LUZ'!C9*53%</f>
        <v>564.98</v>
      </c>
      <c r="C23" s="150">
        <f>'DATOS LUZ'!E34</f>
        <v>0.105</v>
      </c>
      <c r="D23" s="151" t="s">
        <v>72</v>
      </c>
      <c r="E23" s="2" t="s">
        <v>51</v>
      </c>
      <c r="H23" s="32">
        <f t="shared" si="1"/>
        <v>59.3229</v>
      </c>
      <c r="I23" s="4"/>
    </row>
    <row r="24" ht="15" spans="1:9">
      <c r="A24" s="5"/>
      <c r="B24" s="12"/>
      <c r="C24" s="2"/>
      <c r="D24" s="2"/>
      <c r="E24" s="2"/>
      <c r="F24" s="2"/>
      <c r="G24" s="2"/>
      <c r="H24" s="11"/>
      <c r="I24" s="4"/>
    </row>
    <row r="25" ht="19.5" spans="1:9">
      <c r="A25" s="5"/>
      <c r="B25" s="25" t="s">
        <v>52</v>
      </c>
      <c r="E25" s="2"/>
      <c r="F25" s="2"/>
      <c r="G25" s="2"/>
      <c r="H25" s="11"/>
      <c r="I25" s="4"/>
    </row>
    <row r="26" ht="15" spans="1:9">
      <c r="A26" s="5"/>
      <c r="B26" s="37">
        <f>H16+H17+H21</f>
        <v>58.902485</v>
      </c>
      <c r="C26" s="2" t="s">
        <v>73</v>
      </c>
      <c r="H26" s="32">
        <f>B26*0.0511</f>
        <v>3.0099169835</v>
      </c>
      <c r="I26" s="4"/>
    </row>
    <row r="27" ht="15" spans="1:9">
      <c r="A27" s="5"/>
      <c r="B27" s="12"/>
      <c r="C27" s="2"/>
      <c r="D27" s="2"/>
      <c r="E27" s="2"/>
      <c r="F27" s="2"/>
      <c r="G27" s="2"/>
      <c r="H27" s="11"/>
      <c r="I27" s="4"/>
    </row>
    <row r="28" ht="19.5" spans="1:9">
      <c r="A28" s="5"/>
      <c r="B28" s="25" t="s">
        <v>54</v>
      </c>
      <c r="D28" s="33"/>
      <c r="E28" s="2"/>
      <c r="F28" s="2"/>
      <c r="G28" s="2"/>
      <c r="H28" s="11"/>
      <c r="I28" s="4"/>
    </row>
    <row r="29" ht="15" spans="1:9">
      <c r="A29" s="5"/>
      <c r="B29" s="12"/>
      <c r="C29" s="5" t="s">
        <v>55</v>
      </c>
      <c r="D29" s="2" t="s">
        <v>51</v>
      </c>
      <c r="H29" s="32">
        <v>0.85</v>
      </c>
      <c r="I29" s="4"/>
    </row>
    <row r="30" ht="15" spans="1:9">
      <c r="A30" s="5"/>
      <c r="B30" s="12"/>
      <c r="C30" s="2"/>
      <c r="D30" s="2"/>
      <c r="E30" s="2"/>
      <c r="F30" s="2"/>
      <c r="G30" s="2"/>
      <c r="H30" s="11"/>
      <c r="I30" s="4"/>
    </row>
    <row r="31" ht="15" spans="1:9">
      <c r="A31" s="5"/>
      <c r="B31" s="38" t="s">
        <v>56</v>
      </c>
      <c r="C31" s="39" t="s">
        <v>70</v>
      </c>
      <c r="D31" s="2" t="s">
        <v>51</v>
      </c>
      <c r="H31" s="32">
        <f>IF('DATOS LUZ'!C11="SI",'DATOS LUZ'!H34,0)</f>
        <v>5.18</v>
      </c>
      <c r="I31" s="4"/>
    </row>
    <row r="32" ht="15" spans="1:9">
      <c r="A32" s="5"/>
      <c r="B32" s="12"/>
      <c r="C32" s="2"/>
      <c r="D32" s="2"/>
      <c r="E32" s="2"/>
      <c r="F32" s="2"/>
      <c r="G32" s="2"/>
      <c r="H32" s="11"/>
      <c r="I32" s="4"/>
    </row>
    <row r="33" ht="15" spans="1:9">
      <c r="A33" s="5"/>
      <c r="B33" s="38" t="s">
        <v>58</v>
      </c>
      <c r="C33" s="37">
        <f>B26</f>
        <v>58.902485</v>
      </c>
      <c r="D33" s="2" t="s">
        <v>51</v>
      </c>
      <c r="H33" s="32">
        <f>C33*'DATOS LUZ'!C13</f>
        <v>12.36952185</v>
      </c>
      <c r="I33" s="4"/>
    </row>
    <row r="34" ht="15" spans="1:9">
      <c r="A34" s="5"/>
      <c r="B34" s="12"/>
      <c r="C34" s="2"/>
      <c r="D34" s="2"/>
      <c r="E34" s="2"/>
      <c r="F34" s="2"/>
      <c r="G34" s="2"/>
      <c r="H34" s="11"/>
      <c r="I34" s="4"/>
    </row>
    <row r="35" ht="27" customHeight="1" spans="1:9">
      <c r="A35" s="5"/>
      <c r="B35" s="42" t="s">
        <v>59</v>
      </c>
      <c r="C35" s="2" t="s">
        <v>60</v>
      </c>
      <c r="H35" s="43">
        <f>H16+H17+H21+H22+H23+H26+H29+H33+H31</f>
        <v>171.6148238335</v>
      </c>
      <c r="I35" s="4"/>
    </row>
    <row r="36" ht="15" spans="1:9">
      <c r="A36" s="5"/>
      <c r="B36" s="12"/>
      <c r="F36" s="2"/>
      <c r="G36" s="2"/>
      <c r="H36" s="11"/>
      <c r="I36" s="4"/>
    </row>
    <row r="37" ht="15" spans="1:9">
      <c r="A37" s="5"/>
      <c r="B37" s="12" t="s">
        <v>61</v>
      </c>
      <c r="H37" s="44">
        <f>'DATOS LUZ'!C15</f>
        <v>169.41</v>
      </c>
      <c r="I37" s="4"/>
    </row>
    <row r="38" ht="15" spans="1:9">
      <c r="A38" s="5"/>
      <c r="B38" s="12"/>
      <c r="C38" s="2"/>
      <c r="D38" s="2"/>
      <c r="E38" s="2"/>
      <c r="F38" s="2"/>
      <c r="G38" s="2"/>
      <c r="H38" s="11"/>
      <c r="I38" s="4"/>
    </row>
    <row r="39" ht="15" spans="1:9">
      <c r="A39" s="5"/>
      <c r="B39" s="12" t="s">
        <v>62</v>
      </c>
      <c r="D39" s="2" t="s">
        <v>51</v>
      </c>
      <c r="H39" s="45">
        <f>H37-H35</f>
        <v>-2.20482383350003</v>
      </c>
      <c r="I39" s="4"/>
    </row>
    <row r="40" ht="15" spans="1:9">
      <c r="A40" s="5"/>
      <c r="B40" s="12"/>
      <c r="C40" s="2"/>
      <c r="D40" s="2"/>
      <c r="E40" s="2"/>
      <c r="F40" s="2"/>
      <c r="G40" s="2"/>
      <c r="H40" s="11"/>
      <c r="I40" s="4"/>
    </row>
    <row r="41" ht="15" spans="1:9">
      <c r="A41" s="5"/>
      <c r="B41" s="46" t="s">
        <v>63</v>
      </c>
      <c r="C41" s="47"/>
      <c r="D41" s="48" t="s">
        <v>51</v>
      </c>
      <c r="E41" s="47"/>
      <c r="F41" s="47"/>
      <c r="G41" s="47"/>
      <c r="H41" s="152">
        <f>H39*12</f>
        <v>-26.4578860020004</v>
      </c>
      <c r="I41" s="4"/>
    </row>
    <row r="42" ht="15" spans="1:9">
      <c r="A42" s="5"/>
      <c r="B42" s="2"/>
      <c r="C42" s="2"/>
      <c r="D42" s="2"/>
      <c r="E42" s="2"/>
      <c r="F42" s="2"/>
      <c r="G42" s="2"/>
      <c r="H42" s="3"/>
      <c r="I42" s="4"/>
    </row>
    <row r="43" ht="15" spans="1:9">
      <c r="A43" s="4"/>
      <c r="B43" s="4"/>
      <c r="C43" s="4"/>
      <c r="D43" s="4"/>
      <c r="E43" s="4"/>
      <c r="F43" s="4"/>
      <c r="G43" s="4"/>
      <c r="H43" s="50"/>
      <c r="I43" s="4"/>
    </row>
    <row r="44" ht="15" spans="1:9">
      <c r="A44" s="4"/>
      <c r="B44" s="4"/>
      <c r="C44" s="4"/>
      <c r="D44" s="4"/>
      <c r="E44" s="4"/>
      <c r="F44" s="4"/>
      <c r="G44" s="4"/>
      <c r="H44" s="50"/>
      <c r="I44" s="4"/>
    </row>
    <row r="45" ht="15" spans="1:9">
      <c r="A45" s="4"/>
      <c r="B45" s="4"/>
      <c r="C45" s="4"/>
      <c r="D45" s="4"/>
      <c r="E45" s="4"/>
      <c r="F45" s="4"/>
      <c r="G45" s="4"/>
      <c r="H45" s="50"/>
      <c r="I45" s="4"/>
    </row>
    <row r="46" ht="15" spans="1:9">
      <c r="A46" s="4"/>
      <c r="B46" s="4"/>
      <c r="C46" s="4"/>
      <c r="D46" s="4"/>
      <c r="E46" s="4"/>
      <c r="F46" s="4"/>
      <c r="G46" s="4"/>
      <c r="H46" s="50"/>
      <c r="I46" s="4"/>
    </row>
    <row r="47" ht="15" spans="1:9">
      <c r="A47" s="4"/>
      <c r="B47" s="4"/>
      <c r="C47" s="4"/>
      <c r="D47" s="4"/>
      <c r="E47" s="4"/>
      <c r="F47" s="4"/>
      <c r="G47" s="4"/>
      <c r="H47" s="50"/>
      <c r="I47" s="4"/>
    </row>
  </sheetData>
  <mergeCells count="28">
    <mergeCell ref="B6:C6"/>
    <mergeCell ref="D6:H6"/>
    <mergeCell ref="B8:C8"/>
    <mergeCell ref="D8:H8"/>
    <mergeCell ref="B10:C10"/>
    <mergeCell ref="D10:H10"/>
    <mergeCell ref="B12:C12"/>
    <mergeCell ref="D12:H12"/>
    <mergeCell ref="B14:C14"/>
    <mergeCell ref="F16:G16"/>
    <mergeCell ref="F17:G17"/>
    <mergeCell ref="B19:C19"/>
    <mergeCell ref="E21:G21"/>
    <mergeCell ref="E22:G22"/>
    <mergeCell ref="E23:G23"/>
    <mergeCell ref="B25:D25"/>
    <mergeCell ref="C26:G26"/>
    <mergeCell ref="B28:C28"/>
    <mergeCell ref="D29:G29"/>
    <mergeCell ref="D31:G31"/>
    <mergeCell ref="D33:G33"/>
    <mergeCell ref="C35:G35"/>
    <mergeCell ref="B36:E36"/>
    <mergeCell ref="B37:G37"/>
    <mergeCell ref="B39:C39"/>
    <mergeCell ref="D39:G39"/>
    <mergeCell ref="B41:C41"/>
    <mergeCell ref="D41:G41"/>
  </mergeCells>
  <printOptions horizontalCentered="1" verticalCentered="1"/>
  <pageMargins left="0" right="0" top="0" bottom="0" header="0" footer="0"/>
  <pageSetup paperSize="9" pageOrder="overThenDown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83F04"/>
    <outlinePr summaryBelow="0" summaryRight="0"/>
  </sheetPr>
  <dimension ref="A1:J37"/>
  <sheetViews>
    <sheetView showGridLines="0" workbookViewId="0">
      <selection activeCell="A1" sqref="A1"/>
    </sheetView>
  </sheetViews>
  <sheetFormatPr defaultColWidth="12.5714285714286" defaultRowHeight="15.75" customHeight="1"/>
  <cols>
    <col min="1" max="1" width="3.57142857142857" customWidth="1"/>
    <col min="2" max="2" width="24.8571428571429" customWidth="1"/>
    <col min="3" max="9" width="17.2857142857143" customWidth="1"/>
    <col min="10" max="10" width="5.85714285714286" customWidth="1"/>
  </cols>
  <sheetData>
    <row r="1" ht="19.5" customHeight="1" spans="1:10">
      <c r="A1" s="70"/>
      <c r="B1" s="71"/>
      <c r="C1" s="70"/>
      <c r="D1" s="70"/>
      <c r="E1" s="70"/>
      <c r="F1" s="70"/>
      <c r="G1" s="70"/>
      <c r="H1" s="70"/>
      <c r="I1" s="70"/>
      <c r="J1" s="70"/>
    </row>
    <row r="2" ht="40.5" customHeight="1" spans="1:10">
      <c r="A2" s="70"/>
      <c r="B2" s="72" t="s">
        <v>0</v>
      </c>
      <c r="C2" s="17"/>
      <c r="D2" s="70"/>
      <c r="E2" s="73" t="s">
        <v>1</v>
      </c>
      <c r="F2" s="16"/>
      <c r="G2" s="16"/>
      <c r="H2" s="16"/>
      <c r="I2" s="17"/>
    </row>
    <row r="3" ht="15" customHeight="1" spans="1:10">
      <c r="A3" s="70"/>
      <c r="B3" s="71"/>
      <c r="C3" s="70"/>
      <c r="D3" s="70"/>
      <c r="E3" s="70"/>
      <c r="F3" s="70"/>
      <c r="G3" s="70"/>
    </row>
    <row r="4" ht="15" customHeight="1" spans="1:10">
      <c r="A4" s="70"/>
      <c r="B4" s="71"/>
      <c r="C4" s="70"/>
      <c r="D4" s="70"/>
      <c r="E4" s="70"/>
      <c r="F4" s="70"/>
      <c r="G4" s="74" t="s">
        <v>74</v>
      </c>
    </row>
    <row r="5" ht="31.5" customHeight="1" spans="1:10">
      <c r="A5" s="70"/>
      <c r="B5" s="75" t="s">
        <v>4</v>
      </c>
      <c r="C5" s="76">
        <v>0</v>
      </c>
      <c r="D5" s="70"/>
      <c r="E5" s="77" t="s">
        <v>5</v>
      </c>
      <c r="F5" s="16"/>
      <c r="G5" s="78">
        <f>GanaEnergíaGAS!H32</f>
        <v>0.85</v>
      </c>
    </row>
    <row r="6" ht="15" customHeight="1" spans="1:10">
      <c r="A6" s="70"/>
      <c r="B6" s="71"/>
      <c r="C6" s="70"/>
      <c r="D6" s="70"/>
      <c r="E6" s="70"/>
      <c r="F6" s="70"/>
      <c r="G6" s="74" t="s">
        <v>75</v>
      </c>
    </row>
    <row r="7" ht="31.5" customHeight="1" spans="1:10">
      <c r="A7" s="70"/>
      <c r="B7" s="75" t="s">
        <v>8</v>
      </c>
      <c r="C7" s="76" t="s">
        <v>76</v>
      </c>
      <c r="D7" s="70"/>
      <c r="E7" s="79" t="s">
        <v>9</v>
      </c>
      <c r="F7" s="16"/>
      <c r="G7" s="80">
        <f>IberdrolaGAS!H32</f>
        <v>0.85</v>
      </c>
    </row>
    <row r="8" ht="15" customHeight="1" spans="1:10">
      <c r="A8" s="70"/>
      <c r="B8" s="71"/>
      <c r="C8" s="70"/>
      <c r="D8" s="70"/>
      <c r="E8" s="70"/>
      <c r="F8" s="70"/>
      <c r="G8" s="74" t="s">
        <v>77</v>
      </c>
    </row>
    <row r="9" ht="31.5" customHeight="1" spans="1:10">
      <c r="A9" s="70"/>
      <c r="B9" s="75" t="s">
        <v>12</v>
      </c>
      <c r="C9" s="76">
        <v>0</v>
      </c>
      <c r="D9" s="70"/>
      <c r="E9" s="81" t="s">
        <v>13</v>
      </c>
      <c r="F9" s="16"/>
      <c r="G9" s="82">
        <f>EndesaGAS!H32</f>
        <v>0.85</v>
      </c>
    </row>
    <row r="10" ht="15" customHeight="1" spans="1:10">
      <c r="A10" s="70"/>
      <c r="B10" s="71"/>
      <c r="C10" s="70"/>
      <c r="D10" s="70"/>
      <c r="E10" s="70"/>
      <c r="F10" s="70"/>
      <c r="G10" s="74" t="s">
        <v>78</v>
      </c>
      <c r="H10" s="70"/>
      <c r="J10" s="70"/>
    </row>
    <row r="11" ht="31.5" customHeight="1" spans="1:10">
      <c r="A11" s="70"/>
      <c r="B11" s="75" t="s">
        <v>15</v>
      </c>
      <c r="C11" s="83" t="s">
        <v>41</v>
      </c>
      <c r="D11" s="70"/>
      <c r="E11" s="84" t="s">
        <v>17</v>
      </c>
      <c r="F11" s="16"/>
      <c r="G11" s="85">
        <f>NaturgyGAS!H32</f>
        <v>0.85</v>
      </c>
    </row>
    <row r="12" ht="30.75" customHeight="1" spans="1:10">
      <c r="A12" s="70"/>
      <c r="B12" s="71"/>
      <c r="C12" s="86"/>
      <c r="D12" s="70"/>
    </row>
    <row r="13" ht="31.5" customHeight="1" spans="1:10">
      <c r="A13" s="70"/>
      <c r="B13" s="87" t="s">
        <v>18</v>
      </c>
      <c r="C13" s="88">
        <v>0.21</v>
      </c>
      <c r="D13" s="70"/>
      <c r="E13" s="89" t="s">
        <v>19</v>
      </c>
      <c r="F13" s="90"/>
      <c r="G13" s="90"/>
      <c r="H13" s="91"/>
      <c r="I13" s="70"/>
    </row>
    <row r="14" ht="29.25" customHeight="1" spans="1:10">
      <c r="A14" s="70"/>
      <c r="B14" s="92"/>
      <c r="C14" s="86"/>
      <c r="D14" s="70"/>
      <c r="E14" s="93" t="s">
        <v>9</v>
      </c>
      <c r="F14" s="93" t="s">
        <v>17</v>
      </c>
      <c r="G14" s="93" t="s">
        <v>13</v>
      </c>
      <c r="H14" s="93" t="s">
        <v>5</v>
      </c>
      <c r="I14" s="70"/>
    </row>
    <row r="15" ht="29.25" customHeight="1" spans="1:10">
      <c r="A15" s="70"/>
      <c r="B15" s="94" t="s">
        <v>79</v>
      </c>
      <c r="C15" s="95">
        <v>0</v>
      </c>
      <c r="D15" s="96"/>
      <c r="E15" s="97">
        <f>IberdrolaGAS!H36</f>
        <v>-0.85</v>
      </c>
      <c r="F15" s="98">
        <f>NaturgyGAS!H36</f>
        <v>-0.85</v>
      </c>
      <c r="G15" s="99">
        <f>EndesaGAS!H36</f>
        <v>-0.85</v>
      </c>
      <c r="H15" s="100">
        <f>GanaEnergíaGAS!H36</f>
        <v>-0.85</v>
      </c>
    </row>
    <row r="16" ht="29.25" customHeight="1" spans="1:10">
      <c r="A16" s="70"/>
      <c r="B16" s="71"/>
      <c r="C16" s="70"/>
      <c r="D16" s="70"/>
      <c r="E16" s="101">
        <f>IberdrolaGAS!H38</f>
        <v>-10.2</v>
      </c>
      <c r="F16" s="102">
        <f>NaturgyGAS!H38</f>
        <v>-10.2</v>
      </c>
      <c r="G16" s="103">
        <f>EndesaGAS!H38</f>
        <v>-10.2</v>
      </c>
      <c r="H16" s="104">
        <f>GanaEnergíaGAS!H38</f>
        <v>-10.2</v>
      </c>
      <c r="I16" s="70"/>
      <c r="J16" s="70"/>
    </row>
    <row r="17" ht="15" customHeight="1" spans="1:10">
      <c r="A17" s="70"/>
      <c r="B17" s="71"/>
      <c r="C17" s="70"/>
      <c r="D17" s="70"/>
      <c r="E17" s="70"/>
      <c r="F17" s="70"/>
      <c r="G17" s="70"/>
      <c r="H17" s="70"/>
      <c r="I17" s="70"/>
      <c r="J17" s="70"/>
    </row>
    <row r="18" ht="19.5" customHeight="1" spans="1:10">
      <c r="A18" s="70"/>
      <c r="B18" s="87" t="s">
        <v>24</v>
      </c>
      <c r="C18" s="105" t="s">
        <v>7</v>
      </c>
      <c r="D18" s="16"/>
      <c r="E18" s="16"/>
      <c r="F18" s="16"/>
      <c r="G18" s="16"/>
      <c r="H18" s="16"/>
      <c r="I18" s="17"/>
      <c r="J18" s="70"/>
    </row>
    <row r="19" ht="15" customHeight="1" spans="1:10">
      <c r="A19" s="70"/>
      <c r="B19" s="71"/>
      <c r="C19" s="70"/>
      <c r="D19" s="70"/>
      <c r="E19" s="70"/>
      <c r="F19" s="70"/>
      <c r="G19" s="70"/>
      <c r="H19" s="70"/>
      <c r="I19" s="70"/>
      <c r="J19" s="70"/>
    </row>
    <row r="20" ht="19.5" customHeight="1" spans="1:10">
      <c r="A20" s="70"/>
      <c r="B20" s="87" t="s">
        <v>25</v>
      </c>
      <c r="C20" s="106" t="s">
        <v>7</v>
      </c>
      <c r="D20" s="16"/>
      <c r="E20" s="16"/>
      <c r="F20" s="16"/>
      <c r="G20" s="16"/>
      <c r="H20" s="16"/>
      <c r="I20" s="17"/>
      <c r="J20" s="70"/>
    </row>
    <row r="21" ht="15" customHeight="1" spans="1:10">
      <c r="A21" s="107"/>
      <c r="B21" s="108"/>
      <c r="C21" s="109"/>
      <c r="D21" s="109"/>
      <c r="E21" s="109"/>
      <c r="F21" s="109"/>
      <c r="G21" s="109"/>
      <c r="H21" s="109"/>
      <c r="I21" s="110"/>
      <c r="J21" s="107"/>
    </row>
    <row r="22" ht="40.5" customHeight="1" spans="1:10">
      <c r="A22" s="70"/>
      <c r="B22" s="72" t="s">
        <v>26</v>
      </c>
      <c r="C22" s="16"/>
      <c r="D22" s="16"/>
      <c r="E22" s="16"/>
      <c r="F22" s="16"/>
      <c r="G22" s="16"/>
      <c r="H22" s="16"/>
      <c r="I22" s="17"/>
      <c r="J22" s="70"/>
    </row>
    <row r="23" ht="15" customHeight="1" spans="1:10">
      <c r="A23" s="70"/>
      <c r="B23" s="71"/>
      <c r="C23" s="70"/>
      <c r="D23" s="70"/>
      <c r="E23" s="70"/>
      <c r="F23" s="70"/>
      <c r="G23" s="70"/>
      <c r="H23" s="70"/>
      <c r="I23" s="70"/>
      <c r="J23" s="70"/>
    </row>
    <row r="24" ht="23.25" customHeight="1" spans="1:10">
      <c r="A24" s="70"/>
      <c r="B24" s="71"/>
      <c r="C24" s="111" t="s">
        <v>80</v>
      </c>
      <c r="D24" s="90"/>
      <c r="E24" s="91"/>
      <c r="F24" s="111" t="s">
        <v>81</v>
      </c>
      <c r="G24" s="90"/>
      <c r="H24" s="91"/>
      <c r="I24" s="112" t="s">
        <v>82</v>
      </c>
      <c r="J24" s="70"/>
    </row>
    <row r="25" ht="23.25" customHeight="1" spans="1:10">
      <c r="A25" s="70"/>
      <c r="B25" s="71"/>
      <c r="C25" s="113" t="s">
        <v>76</v>
      </c>
      <c r="D25" s="114" t="s">
        <v>83</v>
      </c>
      <c r="E25" s="115" t="s">
        <v>84</v>
      </c>
      <c r="F25" s="113" t="s">
        <v>85</v>
      </c>
      <c r="G25" s="116" t="s">
        <v>86</v>
      </c>
      <c r="H25" s="115" t="s">
        <v>87</v>
      </c>
      <c r="I25" s="115" t="s">
        <v>88</v>
      </c>
      <c r="J25" s="70"/>
    </row>
    <row r="26" ht="35.25" customHeight="1" spans="1:10">
      <c r="A26" s="70"/>
      <c r="B26" s="117" t="s">
        <v>9</v>
      </c>
      <c r="C26" s="118">
        <v>0.2112</v>
      </c>
      <c r="D26" s="119">
        <v>0.3606</v>
      </c>
      <c r="E26" s="120">
        <v>0.6945</v>
      </c>
      <c r="F26" s="118">
        <v>0.1024</v>
      </c>
      <c r="G26" s="118">
        <v>0.1013</v>
      </c>
      <c r="H26" s="118">
        <v>0.1013</v>
      </c>
      <c r="I26" s="121">
        <v>9.95</v>
      </c>
      <c r="J26" s="70"/>
    </row>
    <row r="27" ht="15" customHeight="1" spans="1:10">
      <c r="A27" s="70"/>
      <c r="B27" s="71"/>
      <c r="C27" s="122"/>
      <c r="D27" s="122"/>
      <c r="E27" s="123"/>
      <c r="F27" s="123"/>
      <c r="G27" s="124"/>
      <c r="H27" s="124"/>
      <c r="I27" s="124"/>
      <c r="J27" s="70"/>
    </row>
    <row r="28" ht="35.25" customHeight="1" spans="1:10">
      <c r="A28" s="70"/>
      <c r="B28" s="125" t="s">
        <v>17</v>
      </c>
      <c r="C28" s="126">
        <v>0.169342</v>
      </c>
      <c r="D28" s="127">
        <v>0.300815</v>
      </c>
      <c r="E28" s="128">
        <v>0.649635</v>
      </c>
      <c r="F28" s="126">
        <v>0.079533</v>
      </c>
      <c r="G28" s="127">
        <v>0.077434</v>
      </c>
      <c r="H28" s="129">
        <v>0.073993</v>
      </c>
      <c r="I28" s="130">
        <v>11.81</v>
      </c>
      <c r="J28" s="70"/>
    </row>
    <row r="29" ht="15" customHeight="1" spans="1:10">
      <c r="A29" s="70"/>
      <c r="B29" s="71"/>
      <c r="C29" s="122"/>
      <c r="D29" s="122"/>
      <c r="E29" s="123"/>
      <c r="F29" s="123"/>
      <c r="G29" s="124"/>
      <c r="H29" s="124"/>
      <c r="I29" s="124"/>
      <c r="J29" s="70"/>
    </row>
    <row r="30" ht="35.25" customHeight="1" spans="1:10">
      <c r="A30" s="70"/>
      <c r="B30" s="131" t="s">
        <v>13</v>
      </c>
      <c r="C30" s="132">
        <v>0.2316</v>
      </c>
      <c r="D30" s="133">
        <v>0.4709</v>
      </c>
      <c r="E30" s="134">
        <v>0.9894</v>
      </c>
      <c r="F30" s="132">
        <v>0.0736</v>
      </c>
      <c r="G30" s="133">
        <v>0.0697</v>
      </c>
      <c r="H30" s="135">
        <v>0.0643</v>
      </c>
      <c r="I30" s="136">
        <v>9.09</v>
      </c>
      <c r="J30" s="70"/>
    </row>
    <row r="31" ht="15" customHeight="1" spans="1:10">
      <c r="A31" s="70"/>
      <c r="B31" s="71"/>
      <c r="C31" s="70"/>
      <c r="D31" s="70"/>
      <c r="E31" s="70"/>
      <c r="F31" s="70"/>
      <c r="G31" s="70"/>
      <c r="H31" s="70"/>
      <c r="I31" s="70"/>
      <c r="J31" s="70"/>
    </row>
    <row r="32" ht="35.25" customHeight="1" spans="1:10">
      <c r="A32" s="70"/>
      <c r="B32" s="137" t="s">
        <v>5</v>
      </c>
      <c r="C32" s="138">
        <v>0.126</v>
      </c>
      <c r="D32" s="139">
        <v>0.2616</v>
      </c>
      <c r="E32" s="140">
        <v>0.583</v>
      </c>
      <c r="F32" s="138">
        <v>0.061</v>
      </c>
      <c r="G32" s="139">
        <v>0.0589</v>
      </c>
      <c r="H32" s="141">
        <v>0.0555</v>
      </c>
      <c r="I32" s="142">
        <v>0</v>
      </c>
      <c r="J32" s="70"/>
    </row>
    <row r="33" ht="19.5" customHeight="1" spans="1:10">
      <c r="A33" s="70"/>
      <c r="B33" s="71"/>
      <c r="C33" s="70"/>
      <c r="D33" s="70"/>
      <c r="E33" s="70"/>
      <c r="F33" s="70"/>
      <c r="G33" s="70"/>
      <c r="H33" s="70"/>
      <c r="I33" s="70"/>
      <c r="J33" s="70"/>
    </row>
    <row r="34" ht="19.5" customHeight="1" spans="1:10">
      <c r="A34" s="70"/>
      <c r="B34" s="71"/>
      <c r="C34" s="70"/>
      <c r="D34" s="70"/>
      <c r="E34" s="70"/>
      <c r="F34" s="70"/>
      <c r="G34" s="70"/>
      <c r="H34" s="70"/>
      <c r="I34" s="70"/>
      <c r="J34" s="70"/>
    </row>
    <row r="35" ht="19.5" customHeight="1" spans="1:10">
      <c r="A35" s="70"/>
      <c r="B35" s="71"/>
      <c r="C35" s="70"/>
      <c r="D35" s="70"/>
      <c r="E35" s="70"/>
      <c r="F35" s="70"/>
      <c r="G35" s="70"/>
      <c r="H35" s="70"/>
      <c r="I35" s="70"/>
      <c r="J35" s="70"/>
    </row>
    <row r="36" ht="19.5" customHeight="1" spans="1:10">
      <c r="A36" s="70"/>
      <c r="B36" s="71"/>
      <c r="C36" s="70"/>
      <c r="D36" s="70"/>
      <c r="E36" s="70"/>
      <c r="F36" s="70"/>
      <c r="G36" s="70"/>
      <c r="H36" s="70"/>
      <c r="I36" s="70"/>
      <c r="J36" s="70"/>
    </row>
    <row r="37" ht="19.5" customHeight="1" spans="1:10">
      <c r="A37" s="70"/>
      <c r="B37" s="71"/>
      <c r="C37" s="70"/>
      <c r="D37" s="70"/>
      <c r="E37" s="70"/>
      <c r="F37" s="70"/>
      <c r="G37" s="70"/>
      <c r="H37" s="70"/>
      <c r="I37" s="70"/>
      <c r="J37" s="70"/>
    </row>
  </sheetData>
  <mergeCells count="12">
    <mergeCell ref="B2:C2"/>
    <mergeCell ref="E2:I2"/>
    <mergeCell ref="E5:F5"/>
    <mergeCell ref="E7:F7"/>
    <mergeCell ref="E9:F9"/>
    <mergeCell ref="E11:F11"/>
    <mergeCell ref="E13:H13"/>
    <mergeCell ref="C18:I18"/>
    <mergeCell ref="C20:I20"/>
    <mergeCell ref="B22:I22"/>
    <mergeCell ref="C24:E24"/>
    <mergeCell ref="F24:H24"/>
  </mergeCells>
  <dataValidations count="3">
    <dataValidation type="list" allowBlank="1" showErrorMessage="1" sqref="C7">
      <formula1>"RL1,RL2,RL3"</formula1>
    </dataValidation>
    <dataValidation type="list" allowBlank="1" showErrorMessage="1" sqref="C11">
      <formula1>"SI,NO"</formula1>
    </dataValidation>
    <dataValidation type="list" allowBlank="1" showErrorMessage="1" sqref="C13">
      <formula1>"21%,10%,7%,3%,0%"</formula1>
    </dataValidation>
  </dataValidation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9900"/>
    <outlinePr summaryBelow="0" summaryRight="0"/>
  </sheetPr>
  <dimension ref="A1:I45"/>
  <sheetViews>
    <sheetView showGridLines="0" workbookViewId="0">
      <selection activeCell="A1" sqref="A1"/>
    </sheetView>
  </sheetViews>
  <sheetFormatPr defaultColWidth="12.5714285714286" defaultRowHeight="15.75" customHeight="1"/>
  <cols>
    <col min="1" max="1" width="2.85714285714286" customWidth="1"/>
    <col min="4" max="4" width="14" customWidth="1"/>
    <col min="5" max="5" width="3.85714285714286" customWidth="1"/>
    <col min="9" max="9" width="3.28571428571429" customWidth="1"/>
  </cols>
  <sheetData>
    <row r="1" ht="15" spans="1:9">
      <c r="A1" s="1"/>
      <c r="B1" s="2"/>
      <c r="C1" s="2"/>
      <c r="D1" s="2"/>
      <c r="E1" s="2"/>
      <c r="F1" s="2"/>
      <c r="G1" s="2"/>
      <c r="H1" s="3"/>
      <c r="I1" s="4"/>
    </row>
    <row r="2" ht="15" spans="1:9">
      <c r="A2" s="5"/>
      <c r="B2" s="6"/>
      <c r="C2" s="7"/>
      <c r="D2" s="7"/>
      <c r="E2" s="7"/>
      <c r="F2" s="7"/>
      <c r="G2" s="7"/>
      <c r="H2" s="8"/>
      <c r="I2" s="4"/>
    </row>
    <row r="3" ht="15" spans="1:9">
      <c r="A3" s="5"/>
      <c r="B3" s="9"/>
      <c r="C3" s="10"/>
      <c r="D3" s="10"/>
      <c r="E3" s="10"/>
      <c r="F3" s="2"/>
      <c r="G3" s="2"/>
      <c r="H3" s="11"/>
      <c r="I3" s="4"/>
    </row>
    <row r="4" ht="15" spans="1:9">
      <c r="A4" s="5"/>
      <c r="B4" s="12"/>
      <c r="C4" s="2"/>
      <c r="D4" s="13"/>
      <c r="E4" s="2"/>
      <c r="F4" s="2"/>
      <c r="G4" s="2"/>
      <c r="H4" s="11"/>
      <c r="I4" s="4"/>
    </row>
    <row r="5" ht="15" spans="1:9">
      <c r="A5" s="5"/>
      <c r="B5" s="12"/>
      <c r="C5" s="2"/>
      <c r="D5" s="2"/>
      <c r="E5" s="2"/>
      <c r="F5" s="2"/>
      <c r="G5" s="2"/>
      <c r="H5" s="11"/>
      <c r="I5" s="4"/>
    </row>
    <row r="6" ht="15" spans="1:9">
      <c r="A6" s="5"/>
      <c r="B6" s="14" t="s">
        <v>37</v>
      </c>
      <c r="D6" s="64" t="str">
        <f>'DATOS LUZ'!C18</f>
        <v>-</v>
      </c>
      <c r="E6" s="16"/>
      <c r="F6" s="16"/>
      <c r="G6" s="16"/>
      <c r="H6" s="17"/>
      <c r="I6" s="4"/>
    </row>
    <row r="7" ht="8.25" customHeight="1" spans="1:9">
      <c r="A7" s="5"/>
      <c r="B7" s="12"/>
      <c r="C7" s="2"/>
      <c r="D7" s="2"/>
      <c r="E7" s="2"/>
      <c r="F7" s="2"/>
      <c r="G7" s="2"/>
      <c r="H7" s="11"/>
      <c r="I7" s="4"/>
    </row>
    <row r="8" ht="15" spans="1:9">
      <c r="A8" s="5"/>
      <c r="B8" s="14" t="s">
        <v>25</v>
      </c>
      <c r="D8" s="64" t="str">
        <f>'DATOS LUZ'!C20</f>
        <v>-</v>
      </c>
      <c r="E8" s="16"/>
      <c r="F8" s="16"/>
      <c r="G8" s="16"/>
      <c r="H8" s="17"/>
      <c r="I8" s="4"/>
    </row>
    <row r="9" ht="8.25" customHeight="1" spans="1:9">
      <c r="A9" s="5"/>
      <c r="B9" s="12"/>
      <c r="C9" s="2"/>
      <c r="D9" s="2"/>
      <c r="E9" s="2"/>
      <c r="F9" s="2"/>
      <c r="G9" s="2"/>
      <c r="H9" s="11"/>
      <c r="I9" s="4"/>
    </row>
    <row r="10" ht="20.25" customHeight="1" spans="1:9">
      <c r="A10" s="5"/>
      <c r="B10" s="14" t="s">
        <v>38</v>
      </c>
      <c r="D10" s="65" t="s">
        <v>89</v>
      </c>
      <c r="E10" s="16"/>
      <c r="F10" s="16"/>
      <c r="G10" s="16"/>
      <c r="H10" s="17"/>
      <c r="I10" s="4"/>
    </row>
    <row r="11" ht="8.25" customHeight="1" spans="1:9">
      <c r="A11" s="5"/>
      <c r="B11" s="12"/>
      <c r="C11" s="19"/>
      <c r="D11" s="2"/>
      <c r="E11" s="2"/>
      <c r="F11" s="2"/>
      <c r="G11" s="2"/>
      <c r="H11" s="11"/>
      <c r="I11" s="4"/>
    </row>
    <row r="12" ht="15" spans="1:9">
      <c r="A12" s="5"/>
      <c r="B12" s="14" t="s">
        <v>40</v>
      </c>
      <c r="D12" s="64" t="s">
        <v>41</v>
      </c>
      <c r="E12" s="16"/>
      <c r="F12" s="16"/>
      <c r="G12" s="16"/>
      <c r="H12" s="17"/>
      <c r="I12" s="4"/>
    </row>
    <row r="13" ht="19.5" spans="1:9">
      <c r="A13" s="5"/>
      <c r="B13" s="25"/>
      <c r="C13" s="33"/>
      <c r="D13" s="2"/>
      <c r="E13" s="2"/>
      <c r="F13" s="2"/>
      <c r="G13" s="2"/>
      <c r="H13" s="11"/>
      <c r="I13" s="4"/>
    </row>
    <row r="14" ht="19.5" spans="1:9">
      <c r="A14" s="5"/>
      <c r="B14" s="25" t="s">
        <v>90</v>
      </c>
      <c r="D14" s="2"/>
      <c r="E14" s="2"/>
      <c r="F14" s="2"/>
      <c r="G14" s="2"/>
      <c r="H14" s="11"/>
      <c r="I14" s="4"/>
    </row>
    <row r="15" ht="15" spans="1:9">
      <c r="A15" s="5"/>
      <c r="B15" s="26" t="s">
        <v>44</v>
      </c>
      <c r="C15" s="27"/>
      <c r="D15" s="27" t="s">
        <v>45</v>
      </c>
      <c r="E15" s="27"/>
      <c r="F15" s="27"/>
      <c r="G15" s="27"/>
      <c r="H15" s="28" t="s">
        <v>46</v>
      </c>
      <c r="I15" s="4"/>
    </row>
    <row r="16" ht="15" spans="1:9">
      <c r="A16" s="5"/>
      <c r="B16" s="66">
        <f>'DATOS GAS'!C5</f>
        <v>0</v>
      </c>
      <c r="C16" s="17"/>
      <c r="D16" s="36">
        <f t="array" ref="D16">IFERROR(INDEX('DATOS GAS'!C26:E26,1,MATCH('DATOS GAS'!C7,{"RL1";"RL2";"RL3"},0)),"")</f>
        <v>0.2112</v>
      </c>
      <c r="E16" s="31" t="str">
        <f>'DATOS GAS'!C7</f>
        <v>RL1</v>
      </c>
      <c r="F16" s="2" t="s">
        <v>47</v>
      </c>
      <c r="H16" s="32">
        <f>B16*D16</f>
        <v>0</v>
      </c>
      <c r="I16" s="4"/>
    </row>
    <row r="17" ht="15" spans="1:9">
      <c r="A17" s="5"/>
      <c r="B17" s="12"/>
      <c r="C17" s="2"/>
      <c r="D17" s="2"/>
      <c r="E17" s="2"/>
      <c r="F17" s="2"/>
      <c r="G17" s="2"/>
      <c r="H17" s="11"/>
      <c r="I17" s="4"/>
    </row>
    <row r="18" ht="19.5" spans="1:9">
      <c r="A18" s="5"/>
      <c r="B18" s="25" t="s">
        <v>91</v>
      </c>
      <c r="D18" s="33"/>
      <c r="E18" s="33"/>
      <c r="F18" s="2"/>
      <c r="G18" s="2"/>
      <c r="H18" s="11"/>
      <c r="I18" s="4"/>
    </row>
    <row r="19" ht="15" spans="1:9">
      <c r="A19" s="5"/>
      <c r="B19" s="26" t="s">
        <v>49</v>
      </c>
      <c r="C19" s="27" t="s">
        <v>50</v>
      </c>
      <c r="D19" s="27"/>
      <c r="E19" s="27"/>
      <c r="F19" s="27"/>
      <c r="G19" s="27"/>
      <c r="H19" s="34"/>
      <c r="I19" s="4"/>
    </row>
    <row r="20" ht="15" spans="1:9">
      <c r="A20" s="5"/>
      <c r="B20" s="67">
        <f>'DATOS GAS'!C9</f>
        <v>0</v>
      </c>
      <c r="C20" s="36">
        <f t="array" ref="C20">IFERROR(INDEX('DATOS GAS'!F26:H26,1,MATCH('DATOS GAS'!C7,{"RL1";"RL2";"RL3"},0)),"")</f>
        <v>0.1024</v>
      </c>
      <c r="D20" s="31" t="str">
        <f>'DATOS GAS'!C7</f>
        <v>RL1</v>
      </c>
      <c r="E20" s="2" t="s">
        <v>51</v>
      </c>
      <c r="H20" s="32">
        <f>B20*C20</f>
        <v>0</v>
      </c>
      <c r="I20" s="4"/>
    </row>
    <row r="21" ht="15" spans="1:9">
      <c r="A21" s="5"/>
      <c r="B21" s="12"/>
      <c r="C21" s="2"/>
      <c r="D21" s="2"/>
      <c r="E21" s="2"/>
      <c r="F21" s="2"/>
      <c r="G21" s="2"/>
      <c r="H21" s="11"/>
      <c r="I21" s="4"/>
    </row>
    <row r="22" ht="19.5" spans="1:9">
      <c r="A22" s="5"/>
      <c r="B22" s="25" t="s">
        <v>52</v>
      </c>
      <c r="E22" s="2"/>
      <c r="F22" s="2"/>
      <c r="G22" s="2"/>
      <c r="H22" s="11"/>
      <c r="I22" s="4"/>
    </row>
    <row r="23" ht="15" spans="1:9">
      <c r="A23" s="5"/>
      <c r="B23" s="68">
        <f>H16+H20</f>
        <v>0</v>
      </c>
      <c r="C23" s="2" t="s">
        <v>53</v>
      </c>
      <c r="H23" s="32">
        <f>B23*0.05</f>
        <v>0</v>
      </c>
      <c r="I23" s="4"/>
    </row>
    <row r="24" ht="15" spans="1:9">
      <c r="A24" s="5"/>
      <c r="B24" s="12"/>
      <c r="C24" s="2"/>
      <c r="D24" s="2"/>
      <c r="E24" s="2"/>
      <c r="F24" s="2"/>
      <c r="G24" s="2"/>
      <c r="H24" s="11"/>
      <c r="I24" s="4"/>
    </row>
    <row r="25" ht="19.5" spans="1:9">
      <c r="A25" s="5"/>
      <c r="B25" s="25" t="s">
        <v>54</v>
      </c>
      <c r="D25" s="33"/>
      <c r="E25" s="2"/>
      <c r="F25" s="2"/>
      <c r="G25" s="2"/>
      <c r="H25" s="11"/>
      <c r="I25" s="4"/>
    </row>
    <row r="26" ht="15" spans="1:9">
      <c r="A26" s="5"/>
      <c r="B26" s="12"/>
      <c r="C26" s="5" t="s">
        <v>55</v>
      </c>
      <c r="D26" s="2" t="s">
        <v>51</v>
      </c>
      <c r="H26" s="32">
        <v>0.85</v>
      </c>
      <c r="I26" s="4"/>
    </row>
    <row r="27" ht="15" spans="1:9">
      <c r="A27" s="5"/>
      <c r="B27" s="12"/>
      <c r="C27" s="2"/>
      <c r="D27" s="2"/>
      <c r="E27" s="2"/>
      <c r="F27" s="2"/>
      <c r="G27" s="2"/>
      <c r="H27" s="41"/>
      <c r="I27" s="4"/>
    </row>
    <row r="28" ht="15" spans="1:9">
      <c r="A28" s="5"/>
      <c r="B28" s="38" t="s">
        <v>56</v>
      </c>
      <c r="C28" s="69" t="s">
        <v>57</v>
      </c>
      <c r="D28" s="2" t="s">
        <v>51</v>
      </c>
      <c r="H28" s="32">
        <f>IF('DATOS GAS'!C11="SI",'DATOS GAS'!I26,0)</f>
        <v>0</v>
      </c>
      <c r="I28" s="4"/>
    </row>
    <row r="29" ht="15" spans="1:9">
      <c r="A29" s="5"/>
      <c r="B29" s="12"/>
      <c r="C29" s="2"/>
      <c r="D29" s="2"/>
      <c r="E29" s="2"/>
      <c r="F29" s="2"/>
      <c r="G29" s="2"/>
      <c r="H29" s="11"/>
      <c r="I29" s="4"/>
    </row>
    <row r="30" ht="15" spans="1:9">
      <c r="A30" s="5"/>
      <c r="B30" s="38" t="s">
        <v>58</v>
      </c>
      <c r="C30" s="68">
        <f>B23</f>
        <v>0</v>
      </c>
      <c r="D30" s="2" t="s">
        <v>51</v>
      </c>
      <c r="H30" s="32">
        <f>C30*'DATOS GAS'!C13</f>
        <v>0</v>
      </c>
      <c r="I30" s="4"/>
    </row>
    <row r="31" ht="15" spans="1:9">
      <c r="A31" s="5"/>
      <c r="B31" s="12"/>
      <c r="C31" s="2"/>
      <c r="D31" s="2"/>
      <c r="E31" s="2"/>
      <c r="F31" s="2"/>
      <c r="G31" s="2"/>
      <c r="H31" s="11"/>
      <c r="I31" s="4"/>
    </row>
    <row r="32" ht="21" spans="1:9">
      <c r="A32" s="5"/>
      <c r="B32" s="42" t="s">
        <v>59</v>
      </c>
      <c r="C32" s="2" t="s">
        <v>60</v>
      </c>
      <c r="H32" s="43">
        <f>H16+H20+H23+H26+H30+H28</f>
        <v>0.85</v>
      </c>
      <c r="I32" s="4"/>
    </row>
    <row r="33" ht="15" spans="1:9">
      <c r="A33" s="5"/>
      <c r="B33" s="12"/>
      <c r="F33" s="2"/>
      <c r="G33" s="2"/>
      <c r="H33" s="11"/>
      <c r="I33" s="4"/>
    </row>
    <row r="34" ht="15" spans="1:9">
      <c r="A34" s="5"/>
      <c r="B34" s="12" t="s">
        <v>61</v>
      </c>
      <c r="H34" s="44">
        <f>'DATOS GAS'!C15</f>
        <v>0</v>
      </c>
      <c r="I34" s="4"/>
    </row>
    <row r="35" ht="15" spans="1:9">
      <c r="A35" s="5"/>
      <c r="B35" s="12"/>
      <c r="C35" s="2"/>
      <c r="D35" s="2"/>
      <c r="E35" s="2"/>
      <c r="F35" s="2"/>
      <c r="G35" s="2"/>
      <c r="H35" s="11"/>
      <c r="I35" s="4"/>
    </row>
    <row r="36" ht="15" spans="1:9">
      <c r="A36" s="5"/>
      <c r="B36" s="12" t="s">
        <v>62</v>
      </c>
      <c r="D36" s="2" t="s">
        <v>51</v>
      </c>
      <c r="H36" s="45">
        <f>H34-H32</f>
        <v>-0.85</v>
      </c>
      <c r="I36" s="4"/>
    </row>
    <row r="37" ht="15" spans="1:9">
      <c r="A37" s="5"/>
      <c r="B37" s="12"/>
      <c r="C37" s="2"/>
      <c r="D37" s="2"/>
      <c r="E37" s="2"/>
      <c r="F37" s="2"/>
      <c r="G37" s="2"/>
      <c r="H37" s="11"/>
      <c r="I37" s="4"/>
    </row>
    <row r="38" ht="15" spans="1:9">
      <c r="A38" s="5"/>
      <c r="B38" s="46" t="s">
        <v>63</v>
      </c>
      <c r="C38" s="47"/>
      <c r="D38" s="48" t="s">
        <v>51</v>
      </c>
      <c r="E38" s="47"/>
      <c r="F38" s="47"/>
      <c r="G38" s="47"/>
      <c r="H38" s="49">
        <f>H36*12</f>
        <v>-10.2</v>
      </c>
      <c r="I38" s="4"/>
    </row>
    <row r="39" ht="15" spans="1:9">
      <c r="A39" s="5"/>
      <c r="B39" s="2"/>
      <c r="C39" s="2"/>
      <c r="D39" s="2"/>
      <c r="E39" s="2"/>
      <c r="F39" s="2"/>
      <c r="G39" s="2"/>
      <c r="H39" s="3"/>
      <c r="I39" s="4"/>
    </row>
    <row r="40" ht="15" spans="1:9">
      <c r="A40" s="4"/>
      <c r="B40" s="4"/>
      <c r="C40" s="4"/>
      <c r="D40" s="4"/>
      <c r="E40" s="4"/>
      <c r="F40" s="4"/>
      <c r="G40" s="4"/>
      <c r="H40" s="50"/>
      <c r="I40" s="4"/>
    </row>
    <row r="41" ht="15" spans="1:9">
      <c r="A41" s="4"/>
      <c r="B41" s="4"/>
      <c r="C41" s="4"/>
      <c r="D41" s="4"/>
      <c r="E41" s="4"/>
      <c r="F41" s="4"/>
      <c r="G41" s="4"/>
      <c r="H41" s="50"/>
      <c r="I41" s="4"/>
    </row>
    <row r="42" ht="15" spans="1:9">
      <c r="A42" s="4"/>
      <c r="B42" s="4"/>
      <c r="C42" s="4"/>
      <c r="D42" s="4"/>
      <c r="E42" s="4"/>
      <c r="F42" s="4"/>
      <c r="G42" s="4"/>
      <c r="H42" s="50"/>
      <c r="I42" s="4"/>
    </row>
    <row r="43" ht="15" spans="1:9">
      <c r="A43" s="4"/>
      <c r="B43" s="4"/>
      <c r="C43" s="4"/>
      <c r="D43" s="4"/>
      <c r="E43" s="4"/>
      <c r="F43" s="4"/>
      <c r="G43" s="4"/>
      <c r="H43" s="50"/>
      <c r="I43" s="4"/>
    </row>
    <row r="44" ht="15" spans="1:9">
      <c r="A44" s="4"/>
      <c r="B44" s="4"/>
      <c r="C44" s="4"/>
      <c r="D44" s="4"/>
      <c r="E44" s="4"/>
      <c r="F44" s="4"/>
      <c r="G44" s="4"/>
      <c r="H44" s="50"/>
      <c r="I44" s="4"/>
    </row>
    <row r="45" ht="15" spans="1:9">
      <c r="A45" s="4"/>
      <c r="B45" s="4"/>
      <c r="C45" s="4"/>
      <c r="D45" s="4"/>
      <c r="E45" s="4"/>
      <c r="F45" s="4"/>
      <c r="G45" s="4"/>
      <c r="H45" s="50"/>
      <c r="I45" s="4"/>
    </row>
  </sheetData>
  <mergeCells count="26">
    <mergeCell ref="B6:C6"/>
    <mergeCell ref="D6:H6"/>
    <mergeCell ref="B8:C8"/>
    <mergeCell ref="D8:H8"/>
    <mergeCell ref="B10:C10"/>
    <mergeCell ref="D10:H10"/>
    <mergeCell ref="B12:C12"/>
    <mergeCell ref="D12:H12"/>
    <mergeCell ref="B14:C14"/>
    <mergeCell ref="B16:C16"/>
    <mergeCell ref="F16:G16"/>
    <mergeCell ref="B18:C18"/>
    <mergeCell ref="E20:G20"/>
    <mergeCell ref="B22:D22"/>
    <mergeCell ref="C23:G23"/>
    <mergeCell ref="B25:C25"/>
    <mergeCell ref="D26:G26"/>
    <mergeCell ref="D28:G28"/>
    <mergeCell ref="D30:G30"/>
    <mergeCell ref="C32:G32"/>
    <mergeCell ref="B33:E33"/>
    <mergeCell ref="B34:G34"/>
    <mergeCell ref="B36:C36"/>
    <mergeCell ref="D36:G36"/>
    <mergeCell ref="B38:C38"/>
    <mergeCell ref="D38:G38"/>
  </mergeCells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9900"/>
    <outlinePr summaryBelow="0" summaryRight="0"/>
  </sheetPr>
  <dimension ref="A1:I45"/>
  <sheetViews>
    <sheetView showGridLines="0" workbookViewId="0">
      <selection activeCell="A1" sqref="A1"/>
    </sheetView>
  </sheetViews>
  <sheetFormatPr defaultColWidth="12.5714285714286" defaultRowHeight="15.75" customHeight="1"/>
  <cols>
    <col min="1" max="1" width="2.71428571428571" customWidth="1"/>
    <col min="4" max="4" width="14" customWidth="1"/>
    <col min="5" max="5" width="3.85714285714286" customWidth="1"/>
    <col min="9" max="9" width="3" customWidth="1"/>
  </cols>
  <sheetData>
    <row r="1" ht="15" spans="1:9">
      <c r="A1" s="1"/>
      <c r="B1" s="2"/>
      <c r="C1" s="2"/>
      <c r="D1" s="2"/>
      <c r="E1" s="2"/>
      <c r="F1" s="2"/>
      <c r="G1" s="2"/>
      <c r="H1" s="3"/>
      <c r="I1" s="4"/>
    </row>
    <row r="2" ht="15" spans="1:9">
      <c r="A2" s="5"/>
      <c r="B2" s="6"/>
      <c r="C2" s="7"/>
      <c r="D2" s="7"/>
      <c r="E2" s="7"/>
      <c r="F2" s="7"/>
      <c r="G2" s="7"/>
      <c r="H2" s="8"/>
      <c r="I2" s="4"/>
    </row>
    <row r="3" ht="15" spans="1:9">
      <c r="A3" s="5"/>
      <c r="B3" s="9"/>
      <c r="C3" s="10"/>
      <c r="D3" s="10"/>
      <c r="E3" s="10"/>
      <c r="F3" s="2"/>
      <c r="G3" s="2"/>
      <c r="H3" s="11"/>
      <c r="I3" s="4"/>
    </row>
    <row r="4" ht="15" spans="1:9">
      <c r="A4" s="5"/>
      <c r="B4" s="12"/>
      <c r="C4" s="2"/>
      <c r="D4" s="13"/>
      <c r="E4" s="2"/>
      <c r="F4" s="2"/>
      <c r="G4" s="2"/>
      <c r="H4" s="11"/>
      <c r="I4" s="4"/>
    </row>
    <row r="5" ht="15" spans="1:9">
      <c r="A5" s="5"/>
      <c r="B5" s="12"/>
      <c r="C5" s="2"/>
      <c r="D5" s="2"/>
      <c r="E5" s="2"/>
      <c r="F5" s="2"/>
      <c r="G5" s="2"/>
      <c r="H5" s="11"/>
      <c r="I5" s="4"/>
    </row>
    <row r="6" ht="15" spans="1:9">
      <c r="A6" s="5"/>
      <c r="B6" s="14" t="s">
        <v>37</v>
      </c>
      <c r="D6" s="58" t="str">
        <f>'DATOS LUZ'!C18</f>
        <v>-</v>
      </c>
      <c r="E6" s="16"/>
      <c r="F6" s="16"/>
      <c r="G6" s="16"/>
      <c r="H6" s="17"/>
      <c r="I6" s="4"/>
    </row>
    <row r="7" ht="8.25" customHeight="1" spans="1:9">
      <c r="A7" s="5"/>
      <c r="B7" s="12"/>
      <c r="C7" s="2"/>
      <c r="D7" s="2"/>
      <c r="E7" s="2"/>
      <c r="F7" s="2"/>
      <c r="G7" s="2"/>
      <c r="H7" s="11"/>
      <c r="I7" s="4"/>
    </row>
    <row r="8" ht="15" spans="1:9">
      <c r="A8" s="5"/>
      <c r="B8" s="14" t="s">
        <v>25</v>
      </c>
      <c r="D8" s="58" t="str">
        <f>'DATOS LUZ'!C20</f>
        <v>-</v>
      </c>
      <c r="E8" s="16"/>
      <c r="F8" s="16"/>
      <c r="G8" s="16"/>
      <c r="H8" s="17"/>
      <c r="I8" s="4"/>
    </row>
    <row r="9" ht="8.25" customHeight="1" spans="1:9">
      <c r="A9" s="5"/>
      <c r="B9" s="12"/>
      <c r="C9" s="2"/>
      <c r="D9" s="2"/>
      <c r="E9" s="2"/>
      <c r="F9" s="2"/>
      <c r="G9" s="2"/>
      <c r="H9" s="11"/>
      <c r="I9" s="4"/>
    </row>
    <row r="10" ht="20.25" customHeight="1" spans="1:9">
      <c r="A10" s="5"/>
      <c r="B10" s="14" t="s">
        <v>38</v>
      </c>
      <c r="D10" s="59" t="s">
        <v>92</v>
      </c>
      <c r="E10" s="16"/>
      <c r="F10" s="16"/>
      <c r="G10" s="16"/>
      <c r="H10" s="17"/>
      <c r="I10" s="4"/>
    </row>
    <row r="11" ht="8.25" customHeight="1" spans="1:9">
      <c r="A11" s="5"/>
      <c r="B11" s="12"/>
      <c r="C11" s="19"/>
      <c r="D11" s="2"/>
      <c r="E11" s="2"/>
      <c r="F11" s="2"/>
      <c r="G11" s="2"/>
      <c r="H11" s="11"/>
      <c r="I11" s="4"/>
    </row>
    <row r="12" ht="15" spans="1:9">
      <c r="A12" s="5"/>
      <c r="B12" s="14" t="s">
        <v>40</v>
      </c>
      <c r="D12" s="58" t="s">
        <v>68</v>
      </c>
      <c r="E12" s="16"/>
      <c r="F12" s="16"/>
      <c r="G12" s="16"/>
      <c r="H12" s="17"/>
      <c r="I12" s="4"/>
    </row>
    <row r="13" ht="19.5" spans="1:9">
      <c r="A13" s="5"/>
      <c r="B13" s="25"/>
      <c r="C13" s="33"/>
      <c r="D13" s="2"/>
      <c r="E13" s="2"/>
      <c r="F13" s="2"/>
      <c r="G13" s="2"/>
      <c r="H13" s="11"/>
      <c r="I13" s="4"/>
    </row>
    <row r="14" ht="19.5" spans="1:9">
      <c r="A14" s="5"/>
      <c r="B14" s="25" t="s">
        <v>90</v>
      </c>
      <c r="D14" s="2"/>
      <c r="E14" s="2"/>
      <c r="F14" s="2"/>
      <c r="G14" s="2"/>
      <c r="H14" s="11"/>
      <c r="I14" s="4"/>
    </row>
    <row r="15" ht="15" spans="1:9">
      <c r="A15" s="5"/>
      <c r="B15" s="26" t="s">
        <v>44</v>
      </c>
      <c r="C15" s="27"/>
      <c r="D15" s="27" t="s">
        <v>45</v>
      </c>
      <c r="E15" s="27"/>
      <c r="F15" s="27"/>
      <c r="G15" s="27"/>
      <c r="H15" s="28" t="s">
        <v>46</v>
      </c>
      <c r="I15" s="4"/>
    </row>
    <row r="16" ht="15" spans="1:9">
      <c r="A16" s="5"/>
      <c r="B16" s="60">
        <f>'DATOS GAS'!C5</f>
        <v>0</v>
      </c>
      <c r="C16" s="17"/>
      <c r="D16" s="54">
        <f t="array" ref="D16">IFERROR(INDEX('DATOS GAS'!C28:E28,1,MATCH('DATOS GAS'!C7,{"RL1";"RL2";"RL3"},0)),"")</f>
        <v>0.169342</v>
      </c>
      <c r="E16" s="31" t="str">
        <f>'DATOS GAS'!C7</f>
        <v>RL1</v>
      </c>
      <c r="F16" s="2" t="s">
        <v>47</v>
      </c>
      <c r="H16" s="32">
        <f>B16*D16</f>
        <v>0</v>
      </c>
      <c r="I16" s="4"/>
    </row>
    <row r="17" ht="15" spans="1:9">
      <c r="A17" s="5"/>
      <c r="B17" s="12"/>
      <c r="C17" s="2"/>
      <c r="D17" s="2"/>
      <c r="E17" s="2"/>
      <c r="F17" s="2"/>
      <c r="G17" s="2"/>
      <c r="H17" s="11"/>
      <c r="I17" s="4"/>
    </row>
    <row r="18" ht="19.5" spans="1:9">
      <c r="A18" s="5"/>
      <c r="B18" s="25" t="s">
        <v>91</v>
      </c>
      <c r="D18" s="33"/>
      <c r="E18" s="33"/>
      <c r="F18" s="2"/>
      <c r="G18" s="2"/>
      <c r="H18" s="11"/>
      <c r="I18" s="4"/>
    </row>
    <row r="19" ht="15" spans="1:9">
      <c r="A19" s="5"/>
      <c r="B19" s="26" t="s">
        <v>49</v>
      </c>
      <c r="C19" s="27" t="s">
        <v>50</v>
      </c>
      <c r="D19" s="27"/>
      <c r="E19" s="27"/>
      <c r="F19" s="27"/>
      <c r="G19" s="27"/>
      <c r="H19" s="34"/>
      <c r="I19" s="4"/>
    </row>
    <row r="20" ht="15" spans="1:9">
      <c r="A20" s="5"/>
      <c r="B20" s="61">
        <f>'DATOS GAS'!C9</f>
        <v>0</v>
      </c>
      <c r="C20" s="36">
        <f t="array" ref="C20">IFERROR(INDEX('DATOS GAS'!F28:H28,1,MATCH('DATOS GAS'!C7,{"RL1";"RL2";"RL3"},0)),"")</f>
        <v>0.079533</v>
      </c>
      <c r="D20" s="31" t="str">
        <f>'DATOS GAS'!C7</f>
        <v>RL1</v>
      </c>
      <c r="E20" s="2" t="s">
        <v>51</v>
      </c>
      <c r="H20" s="32">
        <f>B20*C20</f>
        <v>0</v>
      </c>
      <c r="I20" s="4"/>
    </row>
    <row r="21" ht="15" spans="1:9">
      <c r="A21" s="5"/>
      <c r="B21" s="12"/>
      <c r="C21" s="2"/>
      <c r="D21" s="2"/>
      <c r="E21" s="2"/>
      <c r="F21" s="2"/>
      <c r="G21" s="2"/>
      <c r="H21" s="11"/>
      <c r="I21" s="4"/>
    </row>
    <row r="22" ht="19.5" spans="1:9">
      <c r="A22" s="5"/>
      <c r="B22" s="25" t="s">
        <v>52</v>
      </c>
      <c r="E22" s="2"/>
      <c r="F22" s="2"/>
      <c r="G22" s="2"/>
      <c r="H22" s="11"/>
      <c r="I22" s="4"/>
    </row>
    <row r="23" ht="15" spans="1:9">
      <c r="A23" s="5"/>
      <c r="B23" s="62">
        <f>H16+H20</f>
        <v>0</v>
      </c>
      <c r="C23" s="2" t="s">
        <v>53</v>
      </c>
      <c r="H23" s="32">
        <f>B23*0.05</f>
        <v>0</v>
      </c>
      <c r="I23" s="4"/>
    </row>
    <row r="24" ht="15" spans="1:9">
      <c r="A24" s="5"/>
      <c r="B24" s="12"/>
      <c r="C24" s="2"/>
      <c r="D24" s="2"/>
      <c r="E24" s="2"/>
      <c r="F24" s="2"/>
      <c r="G24" s="2"/>
      <c r="H24" s="11"/>
      <c r="I24" s="4"/>
    </row>
    <row r="25" ht="19.5" spans="1:9">
      <c r="A25" s="5"/>
      <c r="B25" s="25" t="s">
        <v>54</v>
      </c>
      <c r="D25" s="33"/>
      <c r="E25" s="2"/>
      <c r="F25" s="2"/>
      <c r="G25" s="2"/>
      <c r="H25" s="11"/>
      <c r="I25" s="4"/>
    </row>
    <row r="26" ht="15" spans="1:9">
      <c r="A26" s="5"/>
      <c r="B26" s="12"/>
      <c r="C26" s="5" t="s">
        <v>55</v>
      </c>
      <c r="D26" s="2" t="s">
        <v>51</v>
      </c>
      <c r="H26" s="32">
        <v>0.85</v>
      </c>
      <c r="I26" s="4"/>
    </row>
    <row r="27" ht="15" spans="1:9">
      <c r="A27" s="5"/>
      <c r="B27" s="12"/>
      <c r="C27" s="2"/>
      <c r="D27" s="2"/>
      <c r="E27" s="2"/>
      <c r="F27" s="2"/>
      <c r="G27" s="2"/>
      <c r="H27" s="11"/>
      <c r="I27" s="4"/>
    </row>
    <row r="28" ht="15" spans="1:9">
      <c r="A28" s="5"/>
      <c r="B28" s="38" t="s">
        <v>56</v>
      </c>
      <c r="C28" s="63" t="s">
        <v>93</v>
      </c>
      <c r="D28" s="2" t="s">
        <v>51</v>
      </c>
      <c r="H28" s="32">
        <f>IF('DATOS GAS'!C11="SI",'DATOS GAS'!I28,0)</f>
        <v>0</v>
      </c>
      <c r="I28" s="4"/>
    </row>
    <row r="29" ht="15" spans="1:9">
      <c r="A29" s="5"/>
      <c r="B29" s="12"/>
      <c r="C29" s="2"/>
      <c r="D29" s="2"/>
      <c r="E29" s="2"/>
      <c r="F29" s="2"/>
      <c r="G29" s="2"/>
      <c r="H29" s="11"/>
      <c r="I29" s="4"/>
    </row>
    <row r="30" ht="15" spans="1:9">
      <c r="A30" s="5"/>
      <c r="B30" s="38" t="s">
        <v>58</v>
      </c>
      <c r="C30" s="62">
        <f>B23</f>
        <v>0</v>
      </c>
      <c r="D30" s="2" t="s">
        <v>51</v>
      </c>
      <c r="H30" s="32">
        <f>C30*'DATOS GAS'!C13</f>
        <v>0</v>
      </c>
      <c r="I30" s="4"/>
    </row>
    <row r="31" ht="15" spans="1:9">
      <c r="A31" s="5"/>
      <c r="B31" s="12"/>
      <c r="C31" s="2"/>
      <c r="D31" s="2"/>
      <c r="E31" s="2"/>
      <c r="F31" s="2"/>
      <c r="G31" s="2"/>
      <c r="H31" s="11"/>
      <c r="I31" s="4"/>
    </row>
    <row r="32" ht="21" spans="1:9">
      <c r="A32" s="5"/>
      <c r="B32" s="42" t="s">
        <v>59</v>
      </c>
      <c r="C32" s="2" t="s">
        <v>60</v>
      </c>
      <c r="H32" s="45">
        <f>H16+H20+H23+H26+H30+H28</f>
        <v>0.85</v>
      </c>
      <c r="I32" s="4"/>
    </row>
    <row r="33" ht="15" spans="1:9">
      <c r="A33" s="5"/>
      <c r="B33" s="12"/>
      <c r="F33" s="2"/>
      <c r="G33" s="2"/>
      <c r="H33" s="11"/>
      <c r="I33" s="4"/>
    </row>
    <row r="34" ht="15" spans="1:9">
      <c r="A34" s="5"/>
      <c r="B34" s="12" t="s">
        <v>61</v>
      </c>
      <c r="H34" s="44">
        <f>'DATOS GAS'!C15</f>
        <v>0</v>
      </c>
      <c r="I34" s="4"/>
    </row>
    <row r="35" ht="15" spans="1:9">
      <c r="A35" s="5"/>
      <c r="B35" s="12"/>
      <c r="C35" s="2"/>
      <c r="D35" s="2"/>
      <c r="E35" s="2"/>
      <c r="F35" s="2"/>
      <c r="G35" s="2"/>
      <c r="H35" s="11"/>
      <c r="I35" s="4"/>
    </row>
    <row r="36" ht="15" spans="1:9">
      <c r="A36" s="5"/>
      <c r="B36" s="12" t="s">
        <v>62</v>
      </c>
      <c r="D36" s="2" t="s">
        <v>51</v>
      </c>
      <c r="H36" s="45">
        <f>H34-H32</f>
        <v>-0.85</v>
      </c>
      <c r="I36" s="4"/>
    </row>
    <row r="37" ht="15" spans="1:9">
      <c r="A37" s="5"/>
      <c r="B37" s="12"/>
      <c r="C37" s="2"/>
      <c r="D37" s="2"/>
      <c r="E37" s="2"/>
      <c r="F37" s="2"/>
      <c r="G37" s="2"/>
      <c r="H37" s="11"/>
      <c r="I37" s="4"/>
    </row>
    <row r="38" ht="15" spans="1:9">
      <c r="A38" s="5"/>
      <c r="B38" s="46" t="s">
        <v>63</v>
      </c>
      <c r="C38" s="47"/>
      <c r="D38" s="48" t="s">
        <v>51</v>
      </c>
      <c r="E38" s="47"/>
      <c r="F38" s="47"/>
      <c r="G38" s="47"/>
      <c r="H38" s="49">
        <f>H36*12</f>
        <v>-10.2</v>
      </c>
      <c r="I38" s="4"/>
    </row>
    <row r="39" ht="15" spans="1:9">
      <c r="A39" s="5"/>
      <c r="B39" s="2"/>
      <c r="C39" s="2"/>
      <c r="D39" s="2"/>
      <c r="E39" s="2"/>
      <c r="F39" s="2"/>
      <c r="G39" s="2"/>
      <c r="H39" s="3"/>
      <c r="I39" s="4"/>
    </row>
    <row r="40" ht="15" spans="1:9">
      <c r="A40" s="4"/>
      <c r="B40" s="4"/>
      <c r="C40" s="4"/>
      <c r="D40" s="4"/>
      <c r="E40" s="4"/>
      <c r="F40" s="4"/>
      <c r="G40" s="4"/>
      <c r="H40" s="50"/>
      <c r="I40" s="4"/>
    </row>
    <row r="41" ht="15" spans="1:9">
      <c r="A41" s="4"/>
      <c r="B41" s="4"/>
      <c r="C41" s="4"/>
      <c r="D41" s="4"/>
      <c r="E41" s="4"/>
      <c r="F41" s="4"/>
      <c r="G41" s="4"/>
      <c r="H41" s="50"/>
      <c r="I41" s="4"/>
    </row>
    <row r="42" ht="15" spans="1:9">
      <c r="A42" s="4"/>
      <c r="B42" s="4"/>
      <c r="C42" s="4"/>
      <c r="D42" s="4"/>
      <c r="E42" s="4"/>
      <c r="F42" s="4"/>
      <c r="G42" s="4"/>
      <c r="H42" s="50"/>
      <c r="I42" s="4"/>
    </row>
    <row r="43" ht="15" spans="1:9">
      <c r="A43" s="4"/>
      <c r="B43" s="4"/>
      <c r="C43" s="4"/>
      <c r="D43" s="4"/>
      <c r="E43" s="4"/>
      <c r="F43" s="4"/>
      <c r="G43" s="4"/>
      <c r="H43" s="50"/>
      <c r="I43" s="4"/>
    </row>
    <row r="44" ht="15" spans="1:9">
      <c r="A44" s="4"/>
      <c r="B44" s="4"/>
      <c r="C44" s="4"/>
      <c r="D44" s="4"/>
      <c r="E44" s="4"/>
      <c r="F44" s="4"/>
      <c r="G44" s="4"/>
      <c r="H44" s="50"/>
      <c r="I44" s="4"/>
    </row>
    <row r="45" ht="15" spans="1:9">
      <c r="A45" s="4"/>
      <c r="B45" s="4"/>
      <c r="C45" s="4"/>
      <c r="D45" s="4"/>
      <c r="E45" s="4"/>
      <c r="F45" s="4"/>
      <c r="G45" s="4"/>
      <c r="H45" s="50"/>
      <c r="I45" s="4"/>
    </row>
  </sheetData>
  <mergeCells count="26">
    <mergeCell ref="B6:C6"/>
    <mergeCell ref="D6:H6"/>
    <mergeCell ref="B8:C8"/>
    <mergeCell ref="D8:H8"/>
    <mergeCell ref="B10:C10"/>
    <mergeCell ref="D10:H10"/>
    <mergeCell ref="B12:C12"/>
    <mergeCell ref="D12:H12"/>
    <mergeCell ref="B14:C14"/>
    <mergeCell ref="B16:C16"/>
    <mergeCell ref="F16:G16"/>
    <mergeCell ref="B18:C18"/>
    <mergeCell ref="E20:G20"/>
    <mergeCell ref="B22:D22"/>
    <mergeCell ref="C23:G23"/>
    <mergeCell ref="B25:C25"/>
    <mergeCell ref="D26:G26"/>
    <mergeCell ref="D28:G28"/>
    <mergeCell ref="D30:G30"/>
    <mergeCell ref="C32:G32"/>
    <mergeCell ref="B33:E33"/>
    <mergeCell ref="B34:G34"/>
    <mergeCell ref="B36:C36"/>
    <mergeCell ref="D36:G36"/>
    <mergeCell ref="B38:C38"/>
    <mergeCell ref="D38:G38"/>
  </mergeCells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9900"/>
    <outlinePr summaryBelow="0" summaryRight="0"/>
  </sheetPr>
  <dimension ref="A1:I45"/>
  <sheetViews>
    <sheetView showGridLines="0" workbookViewId="0">
      <selection activeCell="A1" sqref="A1"/>
    </sheetView>
  </sheetViews>
  <sheetFormatPr defaultColWidth="12.5714285714286" defaultRowHeight="15.75" customHeight="1"/>
  <cols>
    <col min="1" max="1" width="2.71428571428571" customWidth="1"/>
    <col min="4" max="4" width="14" customWidth="1"/>
    <col min="5" max="5" width="3.85714285714286" customWidth="1"/>
    <col min="9" max="9" width="3" customWidth="1"/>
  </cols>
  <sheetData>
    <row r="1" ht="15" spans="1:9">
      <c r="A1" s="1"/>
      <c r="B1" s="2"/>
      <c r="C1" s="2"/>
      <c r="D1" s="2"/>
      <c r="E1" s="2"/>
      <c r="F1" s="2"/>
      <c r="G1" s="2"/>
      <c r="H1" s="3"/>
      <c r="I1" s="4"/>
    </row>
    <row r="2" ht="15" spans="1:9">
      <c r="A2" s="5"/>
      <c r="B2" s="6"/>
      <c r="C2" s="7"/>
      <c r="D2" s="7"/>
      <c r="E2" s="7"/>
      <c r="F2" s="7"/>
      <c r="G2" s="7"/>
      <c r="H2" s="8"/>
      <c r="I2" s="4"/>
    </row>
    <row r="3" ht="15" spans="1:9">
      <c r="A3" s="5"/>
      <c r="B3" s="9"/>
      <c r="C3" s="10"/>
      <c r="D3" s="10"/>
      <c r="E3" s="10"/>
      <c r="F3" s="2"/>
      <c r="G3" s="2"/>
      <c r="H3" s="11"/>
      <c r="I3" s="4"/>
    </row>
    <row r="4" ht="15" spans="1:9">
      <c r="A4" s="5"/>
      <c r="B4" s="12"/>
      <c r="C4" s="2"/>
      <c r="D4" s="13"/>
      <c r="E4" s="2"/>
      <c r="F4" s="2"/>
      <c r="G4" s="2"/>
      <c r="H4" s="11"/>
      <c r="I4" s="4"/>
    </row>
    <row r="5" ht="15" spans="1:9">
      <c r="A5" s="5"/>
      <c r="B5" s="12"/>
      <c r="C5" s="2"/>
      <c r="D5" s="2"/>
      <c r="E5" s="2"/>
      <c r="F5" s="2"/>
      <c r="G5" s="2"/>
      <c r="H5" s="11"/>
      <c r="I5" s="4"/>
    </row>
    <row r="6" ht="15" spans="1:9">
      <c r="A6" s="5"/>
      <c r="B6" s="14" t="s">
        <v>37</v>
      </c>
      <c r="D6" s="51" t="str">
        <f>'DATOS LUZ'!C18</f>
        <v>-</v>
      </c>
      <c r="E6" s="16"/>
      <c r="F6" s="16"/>
      <c r="G6" s="16"/>
      <c r="H6" s="17"/>
      <c r="I6" s="4"/>
    </row>
    <row r="7" ht="8.25" customHeight="1" spans="1:9">
      <c r="A7" s="5"/>
      <c r="B7" s="12"/>
      <c r="C7" s="2"/>
      <c r="D7" s="2"/>
      <c r="E7" s="2"/>
      <c r="F7" s="2"/>
      <c r="G7" s="2"/>
      <c r="H7" s="11"/>
      <c r="I7" s="4"/>
    </row>
    <row r="8" ht="15" spans="1:9">
      <c r="A8" s="5"/>
      <c r="B8" s="14" t="s">
        <v>25</v>
      </c>
      <c r="D8" s="51" t="str">
        <f>'DATOS LUZ'!C20</f>
        <v>-</v>
      </c>
      <c r="E8" s="16"/>
      <c r="F8" s="16"/>
      <c r="G8" s="16"/>
      <c r="H8" s="17"/>
      <c r="I8" s="4"/>
    </row>
    <row r="9" ht="8.25" customHeight="1" spans="1:9">
      <c r="A9" s="5"/>
      <c r="B9" s="12"/>
      <c r="C9" s="2"/>
      <c r="D9" s="2"/>
      <c r="E9" s="2"/>
      <c r="F9" s="2"/>
      <c r="G9" s="2"/>
      <c r="H9" s="11"/>
      <c r="I9" s="4"/>
    </row>
    <row r="10" ht="20.25" customHeight="1" spans="1:9">
      <c r="A10" s="5"/>
      <c r="B10" s="14" t="s">
        <v>38</v>
      </c>
      <c r="D10" s="52" t="s">
        <v>94</v>
      </c>
      <c r="E10" s="16"/>
      <c r="F10" s="16"/>
      <c r="G10" s="16"/>
      <c r="H10" s="17"/>
      <c r="I10" s="4"/>
    </row>
    <row r="11" ht="8.25" customHeight="1" spans="1:9">
      <c r="A11" s="5"/>
      <c r="B11" s="12"/>
      <c r="C11" s="19"/>
      <c r="D11" s="2"/>
      <c r="E11" s="2"/>
      <c r="F11" s="2"/>
      <c r="G11" s="2"/>
      <c r="H11" s="11"/>
      <c r="I11" s="4"/>
    </row>
    <row r="12" ht="15" spans="1:9">
      <c r="A12" s="5"/>
      <c r="B12" s="14" t="s">
        <v>40</v>
      </c>
      <c r="D12" s="51" t="s">
        <v>68</v>
      </c>
      <c r="E12" s="16"/>
      <c r="F12" s="16"/>
      <c r="G12" s="16"/>
      <c r="H12" s="17"/>
      <c r="I12" s="4"/>
    </row>
    <row r="13" ht="19.5" spans="1:9">
      <c r="A13" s="5"/>
      <c r="B13" s="25"/>
      <c r="C13" s="33"/>
      <c r="D13" s="2"/>
      <c r="E13" s="2"/>
      <c r="F13" s="2"/>
      <c r="G13" s="2"/>
      <c r="H13" s="11"/>
      <c r="I13" s="4"/>
    </row>
    <row r="14" ht="19.5" spans="1:9">
      <c r="A14" s="5"/>
      <c r="B14" s="25" t="s">
        <v>90</v>
      </c>
      <c r="D14" s="2"/>
      <c r="E14" s="2"/>
      <c r="F14" s="2"/>
      <c r="G14" s="2"/>
      <c r="H14" s="11"/>
      <c r="I14" s="4"/>
    </row>
    <row r="15" ht="15" spans="1:9">
      <c r="A15" s="5"/>
      <c r="B15" s="26" t="s">
        <v>44</v>
      </c>
      <c r="C15" s="27"/>
      <c r="D15" s="27" t="s">
        <v>45</v>
      </c>
      <c r="E15" s="27"/>
      <c r="F15" s="27"/>
      <c r="G15" s="27"/>
      <c r="H15" s="28" t="s">
        <v>46</v>
      </c>
      <c r="I15" s="4"/>
    </row>
    <row r="16" ht="15" spans="1:9">
      <c r="A16" s="5"/>
      <c r="B16" s="53">
        <f>'DATOS GAS'!C5</f>
        <v>0</v>
      </c>
      <c r="C16" s="17"/>
      <c r="D16" s="54">
        <f t="array" ref="D16">IFERROR(INDEX('DATOS GAS'!C30:E30,1,MATCH('DATOS GAS'!C7,{"RL1";"RL2";"RL3"},0)),"")</f>
        <v>0.2316</v>
      </c>
      <c r="E16" s="31" t="str">
        <f>'DATOS GAS'!C7</f>
        <v>RL1</v>
      </c>
      <c r="F16" s="2" t="s">
        <v>47</v>
      </c>
      <c r="H16" s="32">
        <f>B16*D16</f>
        <v>0</v>
      </c>
      <c r="I16" s="4"/>
    </row>
    <row r="17" ht="15" spans="1:9">
      <c r="A17" s="5"/>
      <c r="B17" s="12"/>
      <c r="C17" s="2"/>
      <c r="D17" s="2"/>
      <c r="E17" s="2"/>
      <c r="F17" s="2"/>
      <c r="G17" s="2"/>
      <c r="H17" s="11"/>
      <c r="I17" s="4"/>
    </row>
    <row r="18" ht="19.5" spans="1:9">
      <c r="A18" s="5"/>
      <c r="B18" s="25" t="s">
        <v>91</v>
      </c>
      <c r="D18" s="33"/>
      <c r="E18" s="33"/>
      <c r="F18" s="2"/>
      <c r="G18" s="2"/>
      <c r="H18" s="11"/>
      <c r="I18" s="4"/>
    </row>
    <row r="19" ht="15" spans="1:9">
      <c r="A19" s="5"/>
      <c r="B19" s="26" t="s">
        <v>49</v>
      </c>
      <c r="C19" s="27" t="s">
        <v>50</v>
      </c>
      <c r="D19" s="27"/>
      <c r="E19" s="27"/>
      <c r="F19" s="27"/>
      <c r="G19" s="27"/>
      <c r="H19" s="34"/>
      <c r="I19" s="4"/>
    </row>
    <row r="20" ht="15" spans="1:9">
      <c r="A20" s="5"/>
      <c r="B20" s="55">
        <f>'DATOS GAS'!C9</f>
        <v>0</v>
      </c>
      <c r="C20" s="36">
        <f t="array" ref="C20">IFERROR(INDEX('DATOS GAS'!F30:H30,1,MATCH('DATOS GAS'!C7,{"RL1";"RL2";"RL3"},0)),"")</f>
        <v>0.0736</v>
      </c>
      <c r="D20" s="31" t="str">
        <f>'DATOS GAS'!C7</f>
        <v>RL1</v>
      </c>
      <c r="E20" s="2" t="s">
        <v>51</v>
      </c>
      <c r="H20" s="32">
        <f>B20*C20</f>
        <v>0</v>
      </c>
      <c r="I20" s="4"/>
    </row>
    <row r="21" ht="15" spans="1:9">
      <c r="A21" s="5"/>
      <c r="B21" s="12"/>
      <c r="C21" s="2"/>
      <c r="D21" s="2"/>
      <c r="E21" s="2"/>
      <c r="F21" s="2"/>
      <c r="G21" s="2"/>
      <c r="H21" s="11"/>
      <c r="I21" s="4"/>
    </row>
    <row r="22" ht="19.5" spans="1:9">
      <c r="A22" s="5"/>
      <c r="B22" s="25" t="s">
        <v>52</v>
      </c>
      <c r="E22" s="2"/>
      <c r="F22" s="2"/>
      <c r="G22" s="2"/>
      <c r="H22" s="11"/>
      <c r="I22" s="4"/>
    </row>
    <row r="23" ht="15" spans="1:9">
      <c r="A23" s="5"/>
      <c r="B23" s="56">
        <f>H16+H20</f>
        <v>0</v>
      </c>
      <c r="C23" s="2" t="s">
        <v>53</v>
      </c>
      <c r="H23" s="32">
        <f>B23*0.05</f>
        <v>0</v>
      </c>
      <c r="I23" s="4"/>
    </row>
    <row r="24" ht="15" spans="1:9">
      <c r="A24" s="5"/>
      <c r="B24" s="12"/>
      <c r="C24" s="2"/>
      <c r="D24" s="2"/>
      <c r="E24" s="2"/>
      <c r="F24" s="2"/>
      <c r="G24" s="2"/>
      <c r="H24" s="11"/>
      <c r="I24" s="4"/>
    </row>
    <row r="25" ht="19.5" spans="1:9">
      <c r="A25" s="5"/>
      <c r="B25" s="25" t="s">
        <v>54</v>
      </c>
      <c r="D25" s="33"/>
      <c r="E25" s="2"/>
      <c r="F25" s="2"/>
      <c r="G25" s="2"/>
      <c r="H25" s="11"/>
      <c r="I25" s="4"/>
    </row>
    <row r="26" ht="15" spans="1:9">
      <c r="A26" s="5"/>
      <c r="B26" s="12"/>
      <c r="C26" s="5" t="s">
        <v>55</v>
      </c>
      <c r="D26" s="2" t="s">
        <v>51</v>
      </c>
      <c r="H26" s="32">
        <v>0.85</v>
      </c>
      <c r="I26" s="4"/>
    </row>
    <row r="27" ht="15" spans="1:9">
      <c r="A27" s="5"/>
      <c r="B27" s="12"/>
      <c r="C27" s="2"/>
      <c r="D27" s="2"/>
      <c r="E27" s="2"/>
      <c r="F27" s="2"/>
      <c r="G27" s="2"/>
      <c r="H27" s="11"/>
      <c r="I27" s="4"/>
    </row>
    <row r="28" ht="15" spans="1:9">
      <c r="A28" s="5"/>
      <c r="B28" s="38" t="s">
        <v>56</v>
      </c>
      <c r="C28" s="57" t="s">
        <v>67</v>
      </c>
      <c r="D28" s="2" t="s">
        <v>51</v>
      </c>
      <c r="H28" s="32">
        <f>IF('DATOS GAS'!C11="SI",'DATOS GAS'!I30,0)</f>
        <v>0</v>
      </c>
      <c r="I28" s="4"/>
    </row>
    <row r="29" ht="15" spans="1:9">
      <c r="A29" s="5"/>
      <c r="B29" s="12"/>
      <c r="C29" s="2"/>
      <c r="D29" s="2"/>
      <c r="E29" s="2"/>
      <c r="F29" s="2"/>
      <c r="G29" s="2"/>
      <c r="H29" s="11"/>
      <c r="I29" s="4"/>
    </row>
    <row r="30" ht="15" spans="1:9">
      <c r="A30" s="5"/>
      <c r="B30" s="38" t="s">
        <v>58</v>
      </c>
      <c r="C30" s="56">
        <f>B23</f>
        <v>0</v>
      </c>
      <c r="D30" s="2" t="s">
        <v>51</v>
      </c>
      <c r="H30" s="32">
        <f>C30*'DATOS GAS'!C13</f>
        <v>0</v>
      </c>
      <c r="I30" s="4"/>
    </row>
    <row r="31" ht="15" spans="1:9">
      <c r="A31" s="5"/>
      <c r="B31" s="12"/>
      <c r="C31" s="2"/>
      <c r="D31" s="2"/>
      <c r="E31" s="2"/>
      <c r="F31" s="2"/>
      <c r="G31" s="2"/>
      <c r="H31" s="11"/>
      <c r="I31" s="4"/>
    </row>
    <row r="32" ht="21" spans="1:9">
      <c r="A32" s="5"/>
      <c r="B32" s="42" t="s">
        <v>59</v>
      </c>
      <c r="C32" s="2" t="s">
        <v>60</v>
      </c>
      <c r="H32" s="45">
        <f>H16+H20+H23+H26+H30+H28</f>
        <v>0.85</v>
      </c>
      <c r="I32" s="4"/>
    </row>
    <row r="33" ht="15" spans="1:9">
      <c r="A33" s="5"/>
      <c r="B33" s="12"/>
      <c r="F33" s="2"/>
      <c r="G33" s="2"/>
      <c r="H33" s="11"/>
      <c r="I33" s="4"/>
    </row>
    <row r="34" ht="15" spans="1:9">
      <c r="A34" s="5"/>
      <c r="B34" s="12" t="s">
        <v>61</v>
      </c>
      <c r="H34" s="44">
        <f>'DATOS GAS'!C15</f>
        <v>0</v>
      </c>
      <c r="I34" s="4"/>
    </row>
    <row r="35" ht="15" spans="1:9">
      <c r="A35" s="5"/>
      <c r="B35" s="12"/>
      <c r="C35" s="2"/>
      <c r="D35" s="2"/>
      <c r="E35" s="2"/>
      <c r="F35" s="2"/>
      <c r="G35" s="2"/>
      <c r="H35" s="11"/>
      <c r="I35" s="4"/>
    </row>
    <row r="36" ht="15" spans="1:9">
      <c r="A36" s="5"/>
      <c r="B36" s="12" t="s">
        <v>62</v>
      </c>
      <c r="D36" s="2" t="s">
        <v>51</v>
      </c>
      <c r="H36" s="45">
        <f>H34-H32</f>
        <v>-0.85</v>
      </c>
      <c r="I36" s="4"/>
    </row>
    <row r="37" ht="15" spans="1:9">
      <c r="A37" s="5"/>
      <c r="B37" s="12"/>
      <c r="C37" s="2"/>
      <c r="D37" s="2"/>
      <c r="E37" s="2"/>
      <c r="F37" s="2"/>
      <c r="G37" s="2"/>
      <c r="H37" s="11"/>
      <c r="I37" s="4"/>
    </row>
    <row r="38" ht="15" spans="1:9">
      <c r="A38" s="5"/>
      <c r="B38" s="46" t="s">
        <v>63</v>
      </c>
      <c r="C38" s="47"/>
      <c r="D38" s="48" t="s">
        <v>51</v>
      </c>
      <c r="E38" s="47"/>
      <c r="F38" s="47"/>
      <c r="G38" s="47"/>
      <c r="H38" s="49">
        <f>H36*12</f>
        <v>-10.2</v>
      </c>
      <c r="I38" s="4"/>
    </row>
    <row r="39" ht="15" spans="1:9">
      <c r="A39" s="5"/>
      <c r="B39" s="2"/>
      <c r="C39" s="2"/>
      <c r="D39" s="2"/>
      <c r="E39" s="2"/>
      <c r="F39" s="2"/>
      <c r="G39" s="2"/>
      <c r="H39" s="3"/>
      <c r="I39" s="4"/>
    </row>
    <row r="40" ht="15" spans="1:9">
      <c r="A40" s="4"/>
      <c r="B40" s="4"/>
      <c r="C40" s="4"/>
      <c r="D40" s="4"/>
      <c r="E40" s="4"/>
      <c r="F40" s="4"/>
      <c r="G40" s="4"/>
      <c r="H40" s="50"/>
      <c r="I40" s="4"/>
    </row>
    <row r="41" ht="15" spans="1:9">
      <c r="A41" s="4"/>
      <c r="B41" s="4"/>
      <c r="C41" s="4"/>
      <c r="D41" s="4"/>
      <c r="E41" s="4"/>
      <c r="F41" s="4"/>
      <c r="G41" s="4"/>
      <c r="H41" s="50"/>
      <c r="I41" s="4"/>
    </row>
    <row r="42" ht="15" spans="1:9">
      <c r="A42" s="4"/>
      <c r="B42" s="4"/>
      <c r="C42" s="4"/>
      <c r="D42" s="4"/>
      <c r="E42" s="4"/>
      <c r="F42" s="4"/>
      <c r="G42" s="4"/>
      <c r="H42" s="50"/>
      <c r="I42" s="4"/>
    </row>
    <row r="43" ht="15" spans="1:9">
      <c r="A43" s="4"/>
      <c r="B43" s="4"/>
      <c r="C43" s="4"/>
      <c r="D43" s="4"/>
      <c r="E43" s="4"/>
      <c r="F43" s="4"/>
      <c r="G43" s="4"/>
      <c r="H43" s="50"/>
      <c r="I43" s="4"/>
    </row>
    <row r="44" ht="15" spans="1:9">
      <c r="A44" s="4"/>
      <c r="B44" s="4"/>
      <c r="C44" s="4"/>
      <c r="D44" s="4"/>
      <c r="E44" s="4"/>
      <c r="F44" s="4"/>
      <c r="G44" s="4"/>
      <c r="H44" s="50"/>
      <c r="I44" s="4"/>
    </row>
    <row r="45" ht="15" spans="1:9">
      <c r="A45" s="4"/>
      <c r="B45" s="4"/>
      <c r="C45" s="4"/>
      <c r="D45" s="4"/>
      <c r="E45" s="4"/>
      <c r="F45" s="4"/>
      <c r="G45" s="4"/>
      <c r="H45" s="50"/>
      <c r="I45" s="4"/>
    </row>
  </sheetData>
  <mergeCells count="26">
    <mergeCell ref="B6:C6"/>
    <mergeCell ref="D6:H6"/>
    <mergeCell ref="B8:C8"/>
    <mergeCell ref="D8:H8"/>
    <mergeCell ref="B10:C10"/>
    <mergeCell ref="D10:H10"/>
    <mergeCell ref="B12:C12"/>
    <mergeCell ref="D12:H12"/>
    <mergeCell ref="B14:C14"/>
    <mergeCell ref="B16:C16"/>
    <mergeCell ref="F16:G16"/>
    <mergeCell ref="B18:C18"/>
    <mergeCell ref="E20:G20"/>
    <mergeCell ref="B22:D22"/>
    <mergeCell ref="C23:G23"/>
    <mergeCell ref="B25:C25"/>
    <mergeCell ref="D26:G26"/>
    <mergeCell ref="D28:G28"/>
    <mergeCell ref="D30:G30"/>
    <mergeCell ref="C32:G32"/>
    <mergeCell ref="B33:E33"/>
    <mergeCell ref="B34:G34"/>
    <mergeCell ref="B36:C36"/>
    <mergeCell ref="D36:G36"/>
    <mergeCell ref="B38:C38"/>
    <mergeCell ref="D38:G38"/>
  </mergeCells>
  <pageMargins left="0.75" right="0.75" top="1" bottom="1" header="0.5" footer="0.5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9900"/>
    <outlinePr summaryBelow="0" summaryRight="0"/>
  </sheetPr>
  <dimension ref="A1:I47"/>
  <sheetViews>
    <sheetView showGridLines="0" workbookViewId="0">
      <selection activeCell="A1" sqref="A1"/>
    </sheetView>
  </sheetViews>
  <sheetFormatPr defaultColWidth="12.5714285714286" defaultRowHeight="15.75" customHeight="1"/>
  <cols>
    <col min="1" max="1" width="2.57142857142857" customWidth="1"/>
    <col min="4" max="4" width="14.2857142857143" customWidth="1"/>
    <col min="5" max="5" width="4.14285714285714" customWidth="1"/>
    <col min="9" max="9" width="3.14285714285714" customWidth="1"/>
  </cols>
  <sheetData>
    <row r="1" ht="12.75" customHeight="1" spans="1:9">
      <c r="A1" s="1"/>
      <c r="B1" s="2"/>
      <c r="C1" s="2"/>
      <c r="D1" s="2"/>
      <c r="E1" s="2"/>
      <c r="F1" s="2"/>
      <c r="G1" s="2"/>
      <c r="H1" s="3"/>
      <c r="I1" s="4"/>
    </row>
    <row r="2" ht="15" spans="1:9">
      <c r="A2" s="5"/>
      <c r="B2" s="6"/>
      <c r="C2" s="7"/>
      <c r="D2" s="7"/>
      <c r="E2" s="7"/>
      <c r="F2" s="7"/>
      <c r="G2" s="7"/>
      <c r="H2" s="8"/>
      <c r="I2" s="4"/>
    </row>
    <row r="3" ht="15" spans="1:9">
      <c r="A3" s="5"/>
      <c r="B3" s="9"/>
      <c r="C3" s="10"/>
      <c r="D3" s="10"/>
      <c r="E3" s="10"/>
      <c r="F3" s="2"/>
      <c r="G3" s="2"/>
      <c r="H3" s="11"/>
      <c r="I3" s="4"/>
    </row>
    <row r="4" ht="15" spans="1:9">
      <c r="A4" s="5"/>
      <c r="B4" s="12"/>
      <c r="C4" s="2"/>
      <c r="D4" s="13"/>
      <c r="E4" s="2"/>
      <c r="F4" s="2"/>
      <c r="G4" s="2"/>
      <c r="H4" s="11"/>
      <c r="I4" s="4"/>
    </row>
    <row r="5" ht="15" spans="1:9">
      <c r="A5" s="5"/>
      <c r="B5" s="12"/>
      <c r="C5" s="2"/>
      <c r="D5" s="2"/>
      <c r="E5" s="2"/>
      <c r="F5" s="2"/>
      <c r="G5" s="2"/>
      <c r="H5" s="11"/>
      <c r="I5" s="4"/>
    </row>
    <row r="6" ht="15" spans="1:9">
      <c r="A6" s="5"/>
      <c r="B6" s="14" t="s">
        <v>37</v>
      </c>
      <c r="D6" s="15" t="str">
        <f>'DATOS LUZ'!C18</f>
        <v>-</v>
      </c>
      <c r="E6" s="16"/>
      <c r="F6" s="16"/>
      <c r="G6" s="16"/>
      <c r="H6" s="17"/>
      <c r="I6" s="4"/>
    </row>
    <row r="7" ht="7.5" customHeight="1" spans="1:9">
      <c r="A7" s="5"/>
      <c r="B7" s="12"/>
      <c r="C7" s="2"/>
      <c r="D7" s="2"/>
      <c r="E7" s="2"/>
      <c r="F7" s="2"/>
      <c r="G7" s="2"/>
      <c r="H7" s="11"/>
      <c r="I7" s="4"/>
    </row>
    <row r="8" ht="15" spans="1:9">
      <c r="A8" s="5"/>
      <c r="B8" s="14" t="s">
        <v>25</v>
      </c>
      <c r="D8" s="15" t="str">
        <f>'DATOS LUZ'!C20</f>
        <v>-</v>
      </c>
      <c r="E8" s="16"/>
      <c r="F8" s="16"/>
      <c r="G8" s="16"/>
      <c r="H8" s="17"/>
      <c r="I8" s="4"/>
    </row>
    <row r="9" ht="7.5" customHeight="1" spans="1:9">
      <c r="A9" s="5"/>
      <c r="B9" s="12"/>
      <c r="C9" s="2"/>
      <c r="D9" s="2"/>
      <c r="E9" s="2"/>
      <c r="F9" s="2"/>
      <c r="G9" s="2"/>
      <c r="H9" s="11"/>
      <c r="I9" s="4"/>
    </row>
    <row r="10" ht="20.25" customHeight="1" spans="1:9">
      <c r="A10" s="5"/>
      <c r="B10" s="14" t="s">
        <v>38</v>
      </c>
      <c r="D10" s="18" t="s">
        <v>95</v>
      </c>
      <c r="E10" s="16"/>
      <c r="F10" s="16"/>
      <c r="G10" s="16"/>
      <c r="H10" s="17"/>
      <c r="I10" s="4"/>
    </row>
    <row r="11" ht="7.5" customHeight="1" spans="1:9">
      <c r="A11" s="5"/>
      <c r="B11" s="12"/>
      <c r="C11" s="19"/>
      <c r="D11" s="2"/>
      <c r="E11" s="2"/>
      <c r="F11" s="2"/>
      <c r="G11" s="2"/>
      <c r="H11" s="11"/>
      <c r="I11" s="4"/>
    </row>
    <row r="12" ht="15" spans="1:9">
      <c r="A12" s="5"/>
      <c r="B12" s="14" t="s">
        <v>40</v>
      </c>
      <c r="D12" s="15" t="s">
        <v>41</v>
      </c>
      <c r="E12" s="16"/>
      <c r="F12" s="16"/>
      <c r="G12" s="16"/>
      <c r="H12" s="17"/>
      <c r="I12" s="4"/>
    </row>
    <row r="13" ht="15" spans="1:9">
      <c r="A13" s="20"/>
      <c r="B13" s="21"/>
      <c r="C13" s="22"/>
      <c r="D13" s="23"/>
      <c r="E13" s="23"/>
      <c r="F13" s="23"/>
      <c r="G13" s="23"/>
      <c r="H13" s="24"/>
      <c r="I13" s="4"/>
    </row>
    <row r="14" ht="19.5" spans="1:9">
      <c r="A14" s="5"/>
      <c r="B14" s="25" t="s">
        <v>90</v>
      </c>
      <c r="D14" s="2"/>
      <c r="E14" s="2"/>
      <c r="F14" s="2"/>
      <c r="G14" s="2"/>
      <c r="H14" s="11"/>
      <c r="I14" s="4"/>
    </row>
    <row r="15" ht="15" spans="1:9">
      <c r="A15" s="5"/>
      <c r="B15" s="26" t="s">
        <v>44</v>
      </c>
      <c r="C15" s="27"/>
      <c r="D15" s="27" t="s">
        <v>45</v>
      </c>
      <c r="E15" s="27"/>
      <c r="F15" s="27"/>
      <c r="G15" s="27"/>
      <c r="H15" s="28" t="s">
        <v>46</v>
      </c>
      <c r="I15" s="4"/>
    </row>
    <row r="16" ht="15" spans="1:9">
      <c r="A16" s="5"/>
      <c r="B16" s="29">
        <f>'DATOS GAS'!C5</f>
        <v>0</v>
      </c>
      <c r="C16" s="17"/>
      <c r="D16" s="30">
        <f t="array" ref="D16">IFERROR(INDEX('DATOS GAS'!C32:E32,1,MATCH('DATOS GAS'!C7,{"RL1";"RL2";"RL3"},0)),"")</f>
        <v>0.126</v>
      </c>
      <c r="E16" s="31" t="str">
        <f>'DATOS GAS'!C7</f>
        <v>RL1</v>
      </c>
      <c r="F16" s="2" t="s">
        <v>47</v>
      </c>
      <c r="H16" s="32">
        <f>B16*D16</f>
        <v>0</v>
      </c>
      <c r="I16" s="4"/>
    </row>
    <row r="17" ht="15" spans="1:9">
      <c r="A17" s="5"/>
      <c r="B17" s="12"/>
      <c r="C17" s="2"/>
      <c r="D17" s="2"/>
      <c r="E17" s="2"/>
      <c r="F17" s="2"/>
      <c r="G17" s="2"/>
      <c r="H17" s="11"/>
      <c r="I17" s="4"/>
    </row>
    <row r="18" ht="19.5" spans="1:9">
      <c r="A18" s="5"/>
      <c r="B18" s="25" t="s">
        <v>91</v>
      </c>
      <c r="D18" s="33"/>
      <c r="E18" s="33"/>
      <c r="F18" s="2"/>
      <c r="G18" s="2"/>
      <c r="H18" s="11"/>
      <c r="I18" s="4"/>
    </row>
    <row r="19" ht="15" spans="1:9">
      <c r="A19" s="5"/>
      <c r="B19" s="26" t="s">
        <v>49</v>
      </c>
      <c r="C19" s="27" t="s">
        <v>50</v>
      </c>
      <c r="D19" s="27"/>
      <c r="E19" s="27"/>
      <c r="F19" s="27"/>
      <c r="G19" s="27"/>
      <c r="H19" s="34"/>
      <c r="I19" s="4"/>
    </row>
    <row r="20" ht="15" spans="1:9">
      <c r="A20" s="5"/>
      <c r="B20" s="35">
        <f>'DATOS GAS'!C9</f>
        <v>0</v>
      </c>
      <c r="C20" s="36">
        <f t="array" ref="C20">IFERROR(INDEX('DATOS GAS'!F32:H32,1,MATCH('DATOS GAS'!C7,{"RL1";"RL2";"RL3"},0)),"")</f>
        <v>0.061</v>
      </c>
      <c r="D20" s="31" t="str">
        <f>'DATOS GAS'!C7</f>
        <v>RL1</v>
      </c>
      <c r="E20" s="2" t="s">
        <v>51</v>
      </c>
      <c r="H20" s="32">
        <f>B20*C20</f>
        <v>0</v>
      </c>
      <c r="I20" s="4"/>
    </row>
    <row r="21" ht="15" spans="1:9">
      <c r="A21" s="5"/>
      <c r="B21" s="12"/>
      <c r="C21" s="2"/>
      <c r="D21" s="2"/>
      <c r="E21" s="2"/>
      <c r="F21" s="2"/>
      <c r="G21" s="2"/>
      <c r="H21" s="11"/>
      <c r="I21" s="4"/>
    </row>
    <row r="22" ht="19.5" spans="1:9">
      <c r="A22" s="5"/>
      <c r="B22" s="25" t="s">
        <v>52</v>
      </c>
      <c r="E22" s="2"/>
      <c r="F22" s="2"/>
      <c r="G22" s="2"/>
      <c r="H22" s="11"/>
      <c r="I22" s="4"/>
    </row>
    <row r="23" ht="15" spans="1:9">
      <c r="A23" s="5"/>
      <c r="B23" s="37">
        <f>H16+H20</f>
        <v>0</v>
      </c>
      <c r="C23" s="2" t="s">
        <v>53</v>
      </c>
      <c r="H23" s="32">
        <f>B23*0.05</f>
        <v>0</v>
      </c>
      <c r="I23" s="4"/>
    </row>
    <row r="24" ht="15" spans="1:9">
      <c r="A24" s="5"/>
      <c r="B24" s="12"/>
      <c r="C24" s="2"/>
      <c r="D24" s="2"/>
      <c r="E24" s="2"/>
      <c r="F24" s="2"/>
      <c r="G24" s="2"/>
      <c r="H24" s="11"/>
      <c r="I24" s="4"/>
    </row>
    <row r="25" ht="19.5" spans="1:9">
      <c r="A25" s="5"/>
      <c r="B25" s="25" t="s">
        <v>54</v>
      </c>
      <c r="D25" s="33"/>
      <c r="E25" s="2"/>
      <c r="F25" s="2"/>
      <c r="G25" s="2"/>
      <c r="H25" s="11"/>
      <c r="I25" s="4"/>
    </row>
    <row r="26" ht="15" spans="1:9">
      <c r="A26" s="5"/>
      <c r="B26" s="12"/>
      <c r="C26" s="5" t="s">
        <v>55</v>
      </c>
      <c r="D26" s="2" t="s">
        <v>51</v>
      </c>
      <c r="H26" s="32">
        <v>0.85</v>
      </c>
      <c r="I26" s="4"/>
    </row>
    <row r="27" ht="15" spans="1:9">
      <c r="A27" s="5"/>
      <c r="B27" s="12"/>
      <c r="C27" s="2"/>
      <c r="D27" s="2"/>
      <c r="E27" s="2"/>
      <c r="F27" s="2"/>
      <c r="G27" s="2"/>
      <c r="H27" s="11"/>
      <c r="I27" s="4"/>
    </row>
    <row r="28" ht="15" spans="1:9">
      <c r="A28" s="5"/>
      <c r="B28" s="38" t="s">
        <v>56</v>
      </c>
      <c r="C28" s="39" t="s">
        <v>5</v>
      </c>
      <c r="D28" s="2" t="s">
        <v>51</v>
      </c>
      <c r="H28" s="32">
        <f>IF('DATOS GAS'!C11="SI",'DATOS GAS'!I32,0)</f>
        <v>0</v>
      </c>
      <c r="I28" s="4"/>
    </row>
    <row r="29" ht="15" spans="1:9">
      <c r="A29" s="5"/>
      <c r="B29" s="38"/>
      <c r="C29" s="40"/>
      <c r="D29" s="2"/>
      <c r="E29" s="2"/>
      <c r="F29" s="2"/>
      <c r="G29" s="2"/>
      <c r="H29" s="41"/>
      <c r="I29" s="4"/>
    </row>
    <row r="30" ht="15" spans="1:9">
      <c r="A30" s="5"/>
      <c r="B30" s="38" t="s">
        <v>58</v>
      </c>
      <c r="C30" s="37">
        <f>B23</f>
        <v>0</v>
      </c>
      <c r="D30" s="2" t="s">
        <v>51</v>
      </c>
      <c r="H30" s="32">
        <f>C30*'DATOS GAS'!C13</f>
        <v>0</v>
      </c>
      <c r="I30" s="4"/>
    </row>
    <row r="31" ht="15" spans="1:9">
      <c r="A31" s="5"/>
      <c r="B31" s="12"/>
      <c r="C31" s="2"/>
      <c r="D31" s="2"/>
      <c r="E31" s="2"/>
      <c r="F31" s="2"/>
      <c r="G31" s="2"/>
      <c r="H31" s="11"/>
      <c r="I31" s="4"/>
    </row>
    <row r="32" ht="27" customHeight="1" spans="1:9">
      <c r="A32" s="5"/>
      <c r="B32" s="42" t="s">
        <v>59</v>
      </c>
      <c r="C32" s="2" t="s">
        <v>60</v>
      </c>
      <c r="H32" s="43">
        <f>H16+H20+H23+H26+H30</f>
        <v>0.85</v>
      </c>
      <c r="I32" s="4"/>
    </row>
    <row r="33" ht="15" spans="1:9">
      <c r="A33" s="5"/>
      <c r="B33" s="12"/>
      <c r="F33" s="2"/>
      <c r="G33" s="2"/>
      <c r="H33" s="11"/>
      <c r="I33" s="4"/>
    </row>
    <row r="34" ht="15" spans="1:9">
      <c r="A34" s="5"/>
      <c r="B34" s="12" t="s">
        <v>61</v>
      </c>
      <c r="H34" s="44">
        <f>'DATOS GAS'!C15</f>
        <v>0</v>
      </c>
      <c r="I34" s="4"/>
    </row>
    <row r="35" ht="15" spans="1:9">
      <c r="A35" s="5"/>
      <c r="B35" s="12"/>
      <c r="C35" s="2"/>
      <c r="D35" s="2"/>
      <c r="E35" s="2"/>
      <c r="F35" s="2"/>
      <c r="G35" s="2"/>
      <c r="H35" s="11"/>
      <c r="I35" s="4"/>
    </row>
    <row r="36" ht="15" spans="1:9">
      <c r="A36" s="5"/>
      <c r="B36" s="12" t="s">
        <v>62</v>
      </c>
      <c r="D36" s="2" t="s">
        <v>51</v>
      </c>
      <c r="H36" s="45">
        <f>H34-H32</f>
        <v>-0.85</v>
      </c>
      <c r="I36" s="4"/>
    </row>
    <row r="37" ht="15" spans="1:9">
      <c r="A37" s="5"/>
      <c r="B37" s="12"/>
      <c r="C37" s="2"/>
      <c r="D37" s="2"/>
      <c r="E37" s="2"/>
      <c r="F37" s="2"/>
      <c r="G37" s="2"/>
      <c r="H37" s="11"/>
      <c r="I37" s="4"/>
    </row>
    <row r="38" ht="15" spans="1:9">
      <c r="A38" s="5"/>
      <c r="B38" s="46" t="s">
        <v>63</v>
      </c>
      <c r="C38" s="47"/>
      <c r="D38" s="48" t="s">
        <v>51</v>
      </c>
      <c r="E38" s="47"/>
      <c r="F38" s="47"/>
      <c r="G38" s="47"/>
      <c r="H38" s="49">
        <f>H36*12</f>
        <v>-10.2</v>
      </c>
      <c r="I38" s="4"/>
    </row>
    <row r="39" ht="15" spans="1:9">
      <c r="A39" s="5"/>
      <c r="B39" s="2"/>
      <c r="C39" s="2"/>
      <c r="D39" s="2"/>
      <c r="E39" s="2"/>
      <c r="F39" s="2"/>
      <c r="G39" s="2"/>
      <c r="H39" s="3"/>
      <c r="I39" s="4"/>
    </row>
    <row r="40" ht="15" spans="1:9">
      <c r="A40" s="4"/>
      <c r="B40" s="4"/>
      <c r="C40" s="4"/>
      <c r="D40" s="4"/>
      <c r="E40" s="4"/>
      <c r="F40" s="4"/>
      <c r="G40" s="4"/>
      <c r="H40" s="50"/>
      <c r="I40" s="4"/>
    </row>
    <row r="41" ht="15" spans="1:9">
      <c r="A41" s="4"/>
      <c r="B41" s="4"/>
      <c r="C41" s="4"/>
      <c r="D41" s="4"/>
      <c r="E41" s="4"/>
      <c r="F41" s="4"/>
      <c r="G41" s="4"/>
      <c r="H41" s="50"/>
      <c r="I41" s="4"/>
    </row>
    <row r="42" ht="15" spans="1:9">
      <c r="A42" s="4"/>
      <c r="B42" s="4"/>
      <c r="C42" s="4"/>
      <c r="D42" s="4"/>
      <c r="E42" s="4"/>
      <c r="F42" s="4"/>
      <c r="G42" s="4"/>
      <c r="H42" s="50"/>
      <c r="I42" s="4"/>
    </row>
    <row r="43" ht="15" spans="1:9">
      <c r="A43" s="4"/>
      <c r="B43" s="4"/>
      <c r="C43" s="4"/>
      <c r="D43" s="4"/>
      <c r="E43" s="4"/>
      <c r="F43" s="4"/>
      <c r="G43" s="4"/>
      <c r="H43" s="50"/>
      <c r="I43" s="4"/>
    </row>
    <row r="44" ht="15" spans="1:9">
      <c r="A44" s="4"/>
      <c r="B44" s="4"/>
      <c r="C44" s="4"/>
      <c r="D44" s="4"/>
      <c r="E44" s="4"/>
      <c r="F44" s="4"/>
      <c r="G44" s="4"/>
      <c r="H44" s="50"/>
      <c r="I44" s="4"/>
    </row>
    <row r="45" ht="15" spans="1:9">
      <c r="A45" s="4"/>
      <c r="B45" s="4"/>
      <c r="C45" s="4"/>
      <c r="D45" s="4"/>
      <c r="E45" s="4"/>
      <c r="F45" s="4"/>
      <c r="G45" s="4"/>
      <c r="H45" s="50"/>
      <c r="I45" s="4"/>
    </row>
    <row r="46" ht="15" spans="1:9">
      <c r="A46" s="4"/>
      <c r="B46" s="4"/>
      <c r="C46" s="4"/>
      <c r="D46" s="4"/>
      <c r="E46" s="4"/>
      <c r="F46" s="4"/>
      <c r="G46" s="4"/>
      <c r="H46" s="50"/>
      <c r="I46" s="4"/>
    </row>
    <row r="47" ht="15" spans="1:9">
      <c r="A47" s="4"/>
      <c r="B47" s="4"/>
      <c r="C47" s="4"/>
      <c r="D47" s="4"/>
      <c r="E47" s="4"/>
      <c r="F47" s="4"/>
      <c r="G47" s="4"/>
      <c r="H47" s="50"/>
      <c r="I47" s="4"/>
    </row>
  </sheetData>
  <mergeCells count="26">
    <mergeCell ref="B6:C6"/>
    <mergeCell ref="D6:H6"/>
    <mergeCell ref="B8:C8"/>
    <mergeCell ref="D8:H8"/>
    <mergeCell ref="B10:C10"/>
    <mergeCell ref="D10:H10"/>
    <mergeCell ref="B12:C12"/>
    <mergeCell ref="D12:H12"/>
    <mergeCell ref="B14:C14"/>
    <mergeCell ref="B16:C16"/>
    <mergeCell ref="F16:G16"/>
    <mergeCell ref="B18:C18"/>
    <mergeCell ref="E20:G20"/>
    <mergeCell ref="B22:D22"/>
    <mergeCell ref="C23:G23"/>
    <mergeCell ref="B25:C25"/>
    <mergeCell ref="D26:G26"/>
    <mergeCell ref="D28:G28"/>
    <mergeCell ref="D30:G30"/>
    <mergeCell ref="C32:G32"/>
    <mergeCell ref="B33:E33"/>
    <mergeCell ref="B34:G34"/>
    <mergeCell ref="B36:C36"/>
    <mergeCell ref="D36:G36"/>
    <mergeCell ref="B38:C38"/>
    <mergeCell ref="D38:G38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DATOS LUZ</vt:lpstr>
      <vt:lpstr>IberdrolaIMPULSA</vt:lpstr>
      <vt:lpstr>NaturgyPORUSO</vt:lpstr>
      <vt:lpstr>EndesaFIJA24HSP</vt:lpstr>
      <vt:lpstr>EndesaFIJA24HCP</vt:lpstr>
      <vt:lpstr>GanaEnergía24H</vt:lpstr>
      <vt:lpstr>GanaEnergíaPDM</vt:lpstr>
      <vt:lpstr>DATOS GAS</vt:lpstr>
      <vt:lpstr>IberdrolaGAS</vt:lpstr>
      <vt:lpstr>NaturgyGAS</vt:lpstr>
      <vt:lpstr>EndesaGAS</vt:lpstr>
      <vt:lpstr>GanaEnergíaGAS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Rocio Vazquez Trigueros</cp:lastModifiedBy>
  <dcterms:created xsi:type="dcterms:W3CDTF">2026-05-11T08:51:00Z</dcterms:created>
  <dcterms:modified xsi:type="dcterms:W3CDTF">2026-06-17T15:06:11Z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9E13A6DA332347528D55623237FFE308_12</vt:lpwstr>
  </property>
  <property fmtid="{D5CDD505-2E9C-101B-9397-08002B2CF9AE}" pid="3" name="KSOProductBuildVer">
    <vt:lpwstr>3082-12.1.0.26880</vt:lpwstr>
  </property>
  <property fmtid="{D5CDD505-2E9C-101B-9397-08002B2CF9AE}" pid="4" name="CalculationRule">
    <vt:i4>0</vt:i4>
  </property>
</Properties>
</file>